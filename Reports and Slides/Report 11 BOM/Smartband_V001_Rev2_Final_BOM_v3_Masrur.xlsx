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jami\Downloads\"/>
    </mc:Choice>
  </mc:AlternateContent>
  <bookViews>
    <workbookView xWindow="0" yWindow="0" windowWidth="21600" windowHeight="9690" tabRatio="500"/>
  </bookViews>
  <sheets>
    <sheet name="Full BOM" sheetId="1" r:id="rId1"/>
    <sheet name="Interface Map" sheetId="2" r:id="rId2"/>
    <sheet name="Power Budget" sheetId="3" r:id="rId3"/>
    <sheet name="Cost Summary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4" l="1"/>
  <c r="C18" i="4"/>
  <c r="H19" i="3"/>
  <c r="L62" i="1"/>
  <c r="K62" i="1"/>
  <c r="M61" i="1"/>
  <c r="M60" i="1"/>
  <c r="M59" i="1"/>
  <c r="M58" i="1"/>
  <c r="M57" i="1"/>
  <c r="M55" i="1"/>
  <c r="M53" i="1"/>
  <c r="M52" i="1"/>
  <c r="M50" i="1"/>
  <c r="M49" i="1"/>
  <c r="M48" i="1"/>
  <c r="M47" i="1"/>
  <c r="M46" i="1"/>
  <c r="M44" i="1"/>
  <c r="M43" i="1"/>
  <c r="M42" i="1"/>
  <c r="M41" i="1"/>
  <c r="M39" i="1"/>
  <c r="M38" i="1"/>
  <c r="M36" i="1"/>
  <c r="M35" i="1"/>
  <c r="M33" i="1"/>
  <c r="M32" i="1"/>
  <c r="M30" i="1"/>
  <c r="M29" i="1"/>
  <c r="M27" i="1"/>
  <c r="M25" i="1"/>
  <c r="M24" i="1"/>
  <c r="M23" i="1"/>
  <c r="M22" i="1"/>
  <c r="M21" i="1"/>
  <c r="M20" i="1"/>
  <c r="M19" i="1"/>
  <c r="M17" i="1"/>
  <c r="M15" i="1"/>
  <c r="M13" i="1"/>
  <c r="M11" i="1"/>
  <c r="M10" i="1"/>
  <c r="M9" i="1"/>
  <c r="M7" i="1"/>
  <c r="M62" i="1" l="1"/>
</calcChain>
</file>

<file path=xl/sharedStrings.xml><?xml version="1.0" encoding="utf-8"?>
<sst xmlns="http://schemas.openxmlformats.org/spreadsheetml/2006/main" count="699" uniqueCount="478">
  <si>
    <t>HSHL · Masrur Jamil Prochchhod · 2210028 · Prof. Giovanni (giovannix) · June 2026</t>
  </si>
  <si>
    <t>nRF5340 BLE 5.3 · MAX30102 PPG · MAX30001 ECG+BioZ · ICM-42688-P · MLX90632 · BMP390L · DRV2605L · ICS-43434 · IP67</t>
  </si>
  <si>
    <t>#</t>
  </si>
  <si>
    <t>Component</t>
  </si>
  <si>
    <t>Part Number</t>
  </si>
  <si>
    <t>Manufacturer</t>
  </si>
  <si>
    <t>Description</t>
  </si>
  <si>
    <t>Interface</t>
  </si>
  <si>
    <t>I2C Addr/Bus</t>
  </si>
  <si>
    <t>Supply V</t>
  </si>
  <si>
    <t>Package</t>
  </si>
  <si>
    <t>Qty</t>
  </si>
  <si>
    <t>Qty×3</t>
  </si>
  <si>
    <t>Unit €</t>
  </si>
  <si>
    <t>Total €</t>
  </si>
  <si>
    <t>Supplier</t>
  </si>
  <si>
    <t>Implementation Notes</t>
  </si>
  <si>
    <t xml:space="preserve">  MICROCONTROLLER</t>
  </si>
  <si>
    <t>nRF5340 SoC</t>
  </si>
  <si>
    <t>nRF5340-QKAA-R7</t>
  </si>
  <si>
    <t>Nordic Semi</t>
  </si>
  <si>
    <t>Dual-core BLE 5.3 SoC — 4× I2C, 2× SPI, I2S, USB, Zephyr RTOS. NFC pins unused (removed from design).</t>
  </si>
  <si>
    <t>Host/BLE</t>
  </si>
  <si>
    <t>N/A (host)</t>
  </si>
  <si>
    <t>1.7–3.6V</t>
  </si>
  <si>
    <t>QFN-94 7×7mm</t>
  </si>
  <si>
    <t>mouser.de</t>
  </si>
  <si>
    <t>BLE keepout 5mm from antenna. VDDMAIN π-filter required. Needs 32MHz + 32.768kHz crystals. nRF Connect SDK v2.6.1. NFC pins P0.02/P0.03 left unconnected.</t>
  </si>
  <si>
    <t xml:space="preserve">  HEALTH SENSOR</t>
  </si>
  <si>
    <t>MAX30102 PPG/SpO2</t>
  </si>
  <si>
    <t>MAX30102EFD+</t>
  </si>
  <si>
    <t>Analog Devices</t>
  </si>
  <si>
    <t>Optical PPG — HR and SpO2 via red + infrared LEDs against wrist skin. Interrupt-driven FIFO.</t>
  </si>
  <si>
    <t>I2C TWIM0</t>
  </si>
  <si>
    <t>0x57 (fixed)</t>
  </si>
  <si>
    <t>1.8V VDD + 3.3V LED</t>
  </si>
  <si>
    <t>OLGA-14 2.5×2.5mm</t>
  </si>
  <si>
    <t>VDD from LP5907-1.8. LED from LP5907-3.3. INT pin to GPIO. Black optical gasket around opening.</t>
  </si>
  <si>
    <t>MAX30001 ECG+BioZ</t>
  </si>
  <si>
    <t>MAX30001CWV+</t>
  </si>
  <si>
    <t>Single-chip ECG frontend + bioimpedance (stress/GSR) via SPI — replaces AD8232 + AD5933.</t>
  </si>
  <si>
    <t>SPI SPIM1</t>
  </si>
  <si>
    <t>N/A (SPI)</t>
  </si>
  <si>
    <t>1.8V core/3.3V IO</t>
  </si>
  <si>
    <t>WLP-20 3×3mm</t>
  </si>
  <si>
    <t>ECGP/ECGN via Kapton flex to strap. RLD=FBIASN. 1kΩ series on each electrode. Analog GND island.</t>
  </si>
  <si>
    <t>MLX90632 IR Temp</t>
  </si>
  <si>
    <t>MLX90632SLD-BCO</t>
  </si>
  <si>
    <t>Melexis</t>
  </si>
  <si>
    <t>Non-contact infrared skin temperature, ±0.5°C. No physical contact required.</t>
  </si>
  <si>
    <t>0x3A (default)</t>
  </si>
  <si>
    <t>2.6–3.6V</t>
  </si>
  <si>
    <t>ODFN-8 3×3mm</t>
  </si>
  <si>
    <t>0.5mm aperture in enclosure. Address changeable to 0x3B via EEPROM. Melexis Zephyr driver available.</t>
  </si>
  <si>
    <t xml:space="preserve">  MOTION</t>
  </si>
  <si>
    <t>ICM-42688-P IMU</t>
  </si>
  <si>
    <t>ICM-42688-P</t>
  </si>
  <si>
    <t>TDK InvenSense</t>
  </si>
  <si>
    <t>6-axis IMU — hardware step counter, fall detect, wake-on-motion, 2kB FIFO buffer.</t>
  </si>
  <si>
    <t>0x68 (AD0=GND)</t>
  </si>
  <si>
    <t>1.71–1.89V core</t>
  </si>
  <si>
    <t>LGA-14 2.5×3mm</t>
  </si>
  <si>
    <t>Core from TPS62840 1.8V. INT1 to GPIO wake-on-motion. Zephyr ICM-42688 driver built in.</t>
  </si>
  <si>
    <t xml:space="preserve">  ENVIRONMENTAL</t>
  </si>
  <si>
    <t>BMP390L Pressure</t>
  </si>
  <si>
    <t>BMP390L</t>
  </si>
  <si>
    <t>Bosch Sensortec</t>
  </si>
  <si>
    <t>Barometric pressure → 12.5cm altitude resolution. Floor counting. IP67 PTFE vent mesh required.</t>
  </si>
  <si>
    <t>0x76 (SDO=GND)</t>
  </si>
  <si>
    <t>1.65–3.6V</t>
  </si>
  <si>
    <t>LGA-10 2×2mm</t>
  </si>
  <si>
    <t>0.3mm vent hole in enclosure covered with Porex PTFE mesh. Zephyr BMP390 driver compatible.</t>
  </si>
  <si>
    <t xml:space="preserve">  DISPLAY</t>
  </si>
  <si>
    <t>Waveshare 1.69" Touch LCD</t>
  </si>
  <si>
    <t>Waveshare-1.69LCD</t>
  </si>
  <si>
    <t>Waveshare</t>
  </si>
  <si>
    <t>1.69" 240×280 IPS colour touchscreen — ST7789V2 display + CST816T touch on single FPC module.</t>
  </si>
  <si>
    <t>SPI0 (disp)+TWIM1 (touch)</t>
  </si>
  <si>
    <t>0x15 TWIM1</t>
  </si>
  <si>
    <t>2.8–3.3V/1.8V IO</t>
  </si>
  <si>
    <t>COG+FPC</t>
  </si>
  <si>
    <t>waveshare.com</t>
  </si>
  <si>
    <t>Backlight via GPIO PWM. LVGL v8 for UI. Touch on TWIM1 isolated from sensor TWIM0.</t>
  </si>
  <si>
    <t xml:space="preserve">  POWER</t>
  </si>
  <si>
    <t>BQ25180 Charger</t>
  </si>
  <si>
    <t>BQ25180YBGR</t>
  </si>
  <si>
    <t>Texas Instruments</t>
  </si>
  <si>
    <t>I2C-programmable 1A Li-Ion charger. Input from 3-pin magnetic pogo dock contacts.</t>
  </si>
  <si>
    <t>0x6A (fixed)</t>
  </si>
  <si>
    <t>4.35–17V→4.2V</t>
  </si>
  <si>
    <t>DSBGA-9 1.5×1.3mm</t>
  </si>
  <si>
    <t>VIN from pogo pins. STAT/INT to GPIO. NTC on TS pin. 0.4mm BGA requires JLCPCB PCBA.</t>
  </si>
  <si>
    <t>MAX17048 Fuel Gauge</t>
  </si>
  <si>
    <t>MAX17048G+T</t>
  </si>
  <si>
    <t>ModelGauge fuel gauge — accurate SOC ±1%. Low-battery ALRT interrupt pin.</t>
  </si>
  <si>
    <t>0x36 (fixed)</t>
  </si>
  <si>
    <t>2.5–5.5V battery</t>
  </si>
  <si>
    <t>SOT-23-5</t>
  </si>
  <si>
    <t>VDD direct to battery. ALRT to GPIO interrupt. Run DS Toolkit for ModelGauge config.</t>
  </si>
  <si>
    <t>TPS62840 Buck 1.8V</t>
  </si>
  <si>
    <t>TPS62840DLCR</t>
  </si>
  <si>
    <t>60nA quiescent buck converter — 1.8V digital rail from Li-Ion battery.</t>
  </si>
  <si>
    <t>GPIO EN</t>
  </si>
  <si>
    <t>N/A</t>
  </si>
  <si>
    <t>2.1–5.5V→1.8V</t>
  </si>
  <si>
    <t>WSON-8 2×2mm</t>
  </si>
  <si>
    <t>EN to GPIO for deep-sleep gating. 22µF output cap. Murata LQM21DN2R2 inductor. GND plane under IC.</t>
  </si>
  <si>
    <t>LP5907 LDO 3.3V</t>
  </si>
  <si>
    <t>LP5907MFX-3.3</t>
  </si>
  <si>
    <t>Ultra-low-noise LDO — 3.3V clean supply for display, BLE antenna, and peripherals.</t>
  </si>
  <si>
    <t>Always on</t>
  </si>
  <si>
    <t>2.2–5.5V→3.3V</t>
  </si>
  <si>
    <t>Input from battery. 100µF output MLCC. 75dB PSRR — clean RF and peripheral supply.</t>
  </si>
  <si>
    <t>LP5907 LDO 1.8V</t>
  </si>
  <si>
    <t>LP5907MFX-1.8</t>
  </si>
  <si>
    <t>Ultra-low-noise LDO — 1.8V dedicated analog supply for PPG and ECG signal chains.</t>
  </si>
  <si>
    <t>Always on (analog)</t>
  </si>
  <si>
    <t>2.2–5.5V→1.8V</t>
  </si>
  <si>
    <t>Analog supply only — separate from TPS62840 digital 1.8V. Star GND to analog island.</t>
  </si>
  <si>
    <t>DW01A Battery Protection</t>
  </si>
  <si>
    <t>DW01A</t>
  </si>
  <si>
    <t>Fortune Semi</t>
  </si>
  <si>
    <t>Li-Ion cell overcharge, overdischarge, and short-circuit protection — mandatory safety.</t>
  </si>
  <si>
    <t>Passive</t>
  </si>
  <si>
    <t>2.4–4.4V</t>
  </si>
  <si>
    <t>SOT-23-6</t>
  </si>
  <si>
    <t>lcsc.com</t>
  </si>
  <si>
    <t>Pair with FS8205A MOSFET. In series with battery before all rails.</t>
  </si>
  <si>
    <t>TPS22918 Load Switch x3</t>
  </si>
  <si>
    <t>TPS22918TINY</t>
  </si>
  <si>
    <t>Power-gates sensor subsystems during deep sleep — critical for 1.5-day battery target.</t>
  </si>
  <si>
    <t>GPIO EN per switch</t>
  </si>
  <si>
    <t>0.8–4.3V 2A</t>
  </si>
  <si>
    <t>UQFN-4</t>
  </si>
  <si>
    <t>3 switches: PPG block, ECG block, display+touch. Each EN to GPIO. Essential for &lt;2mA sleep.</t>
  </si>
  <si>
    <t xml:space="preserve">  CONNECTIVITY</t>
  </si>
  <si>
    <t>BLE Chip Antenna</t>
  </si>
  <si>
    <t>2450AT18D0100E</t>
  </si>
  <si>
    <t>Johanson Tech</t>
  </si>
  <si>
    <t>2.4GHz SMD chip antenna, Nordic-qualified for nRF5340 BLE 5.3 designs.</t>
  </si>
  <si>
    <t>RF</t>
  </si>
  <si>
    <t>SMD 2×1mm</t>
  </si>
  <si>
    <t>5mm GND clearance. Board edge per Nordic HW guidelines. BLE only — NFC removed from design.</t>
  </si>
  <si>
    <t xml:space="preserve">  HAPTIC</t>
  </si>
  <si>
    <t>DRV2605L Haptic Driver</t>
  </si>
  <si>
    <t>DRV2605LDGSR</t>
  </si>
  <si>
    <t>I2C haptic driver — 123 built-in LRA effects for call alerts, UI feedback, notifications.</t>
  </si>
  <si>
    <t>0x5A (fixed)</t>
  </si>
  <si>
    <t>2.0–5.5V</t>
  </si>
  <si>
    <t>WSON-10 3×3mm</t>
  </si>
  <si>
    <t>IN/TRIG for GPIO trigger without I2C. Auto-calibrates LRA on first boot. Effect 14=call alert.</t>
  </si>
  <si>
    <t>LRA Motor 8mm</t>
  </si>
  <si>
    <t>HHLA08A 8mm LRA</t>
  </si>
  <si>
    <t>Jinlong</t>
  </si>
  <si>
    <t>8mm linear resonant actuator — precision haptic vibration at ~170Hz resonant frequency.</t>
  </si>
  <si>
    <t>DRV2605L output</t>
  </si>
  <si>
    <t>3.7V via driver</t>
  </si>
  <si>
    <t>8mm coin 3mm thick</t>
  </si>
  <si>
    <t>digikey.com</t>
  </si>
  <si>
    <t>Solder via flex strip. Foam isolator under motor. ~170Hz resonant frequency.</t>
  </si>
  <si>
    <t xml:space="preserve">  AUDIO</t>
  </si>
  <si>
    <t>ICS-43434 MEMS Mic</t>
  </si>
  <si>
    <t>ICS-43434</t>
  </si>
  <si>
    <t>PDM MEMS microphone for BLE HFP call audio via nRF5340 I2S peripheral.</t>
  </si>
  <si>
    <t>PDM/I2S</t>
  </si>
  <si>
    <t>3.3V</t>
  </si>
  <si>
    <t>LGA-5 3.5×2.65mm</t>
  </si>
  <si>
    <t>SELECT to GND = left channel. 0.5mm port + Knowles SBT membrane. Zephyr PDM driver. BLE HFP.</t>
  </si>
  <si>
    <t>Passive Piezo Buzzer</t>
  </si>
  <si>
    <t>SMD-079020H</t>
  </si>
  <si>
    <t>Generic</t>
  </si>
  <si>
    <t>Passive piezo buzzer for ringtone alerts — GPIO PWM via transistor buffer.</t>
  </si>
  <si>
    <t>GPIO PWM (transistor)</t>
  </si>
  <si>
    <t>SMD 9×8×2mm</t>
  </si>
  <si>
    <t>reichelt.de</t>
  </si>
  <si>
    <t>2N3904 or BSS138 buffer. Acoustic membrane over port for IP67. ~80dB at 10cm.</t>
  </si>
  <si>
    <t xml:space="preserve">  INDICATOR</t>
  </si>
  <si>
    <t>IS31FL3193 RGB Driver</t>
  </si>
  <si>
    <t>IS31FL3193-QFLS2</t>
  </si>
  <si>
    <t>ISSI</t>
  </si>
  <si>
    <t>I2C constant-current RGB LED driver — 3 independent 10mA channels, no resistors needed.</t>
  </si>
  <si>
    <t>0x74 (AD0=GND)</t>
  </si>
  <si>
    <t>2.7–5.5V</t>
  </si>
  <si>
    <t>QFN-16 3×3mm</t>
  </si>
  <si>
    <t>AD0 to GND → 0x74. 10mA per channel. Zephyr LED driver built in.</t>
  </si>
  <si>
    <t>RGB LED 3x 0402</t>
  </si>
  <si>
    <t>Würth 150060SS75000</t>
  </si>
  <si>
    <t>Würth</t>
  </si>
  <si>
    <t>3× discrete 0402 SMD LEDs (R 617nm / G 525nm / B 470nm) for status indicator ring.</t>
  </si>
  <si>
    <t>IS31FL3193 output</t>
  </si>
  <si>
    <t>3.3V via driver</t>
  </si>
  <si>
    <t>0402</t>
  </si>
  <si>
    <t>R=617nm, G=525nm, B=470nm. At PCB top edge through translucent window.</t>
  </si>
  <si>
    <t xml:space="preserve">  TIMING</t>
  </si>
  <si>
    <t>32MHz Crystal</t>
  </si>
  <si>
    <t>ABM8G-32.000MHZ-18-D2Y-T</t>
  </si>
  <si>
    <t>ABRACON</t>
  </si>
  <si>
    <t>32MHz HF crystal — required for nRF5340 BLE radio, ±10ppm tolerance.</t>
  </si>
  <si>
    <t>nRF5340 XC1/XC2</t>
  </si>
  <si>
    <t>2016 SMD</t>
  </si>
  <si>
    <t>Within 3mm of XC1/XC2. Two 12pF load caps. Top layer only, no vias in path.</t>
  </si>
  <si>
    <t>32.768kHz Crystal</t>
  </si>
  <si>
    <t>Epson FC-135R 32.768kHz</t>
  </si>
  <si>
    <t>Epson</t>
  </si>
  <si>
    <t>32.768kHz LF crystal — accurate RTC timekeeping during deep sleep.</t>
  </si>
  <si>
    <t>nRF5340 XL1/XL2</t>
  </si>
  <si>
    <t>3215 SMD</t>
  </si>
  <si>
    <t>Two 7pF load caps. Away from buzzer and motor (vibration sensitive).</t>
  </si>
  <si>
    <t xml:space="preserve">  WATERPROOFING</t>
  </si>
  <si>
    <t>Conformal Coat MG422B</t>
  </si>
  <si>
    <t>MG Chemicals 422B</t>
  </si>
  <si>
    <t>MG Chemicals</t>
  </si>
  <si>
    <t>Acrylic conformal coat — PCB moisture protection, secondary IP67 defence layer.</t>
  </si>
  <si>
    <t>150ml aerosol</t>
  </si>
  <si>
    <t>Mask MAX30102, MLX90632, test points. 2 coats × 30min apart. 24hr cure before enclosure.</t>
  </si>
  <si>
    <t>Silicone O-Ring 28mm</t>
  </si>
  <si>
    <t>O-ring 28×2mm</t>
  </si>
  <si>
    <t>Silicone O-ring — primary IP67 compression seal between glass front and back shell.</t>
  </si>
  <si>
    <t>Silicone Shore 60A</t>
  </si>
  <si>
    <t>Groove width 2.4mm (1.2× CS). 15% compression on closure. Apply silicone grease.</t>
  </si>
  <si>
    <t>Acoustic Membrane x2</t>
  </si>
  <si>
    <t>Knowles SBT-0808</t>
  </si>
  <si>
    <t>Knowles</t>
  </si>
  <si>
    <t>Hydrophobic PTFE acoustic membranes over microphone and buzzer ports (IP67 rated).</t>
  </si>
  <si>
    <t>8mm adhesive disc</t>
  </si>
  <si>
    <t>One over mic port, one over buzzer port. Test IP67 after enclosure assembly.</t>
  </si>
  <si>
    <t>Pressure Port Mesh</t>
  </si>
  <si>
    <t>Porex PTFE 0.2µm</t>
  </si>
  <si>
    <t>Porex</t>
  </si>
  <si>
    <t>Hydrophobic PTFE vent mesh over BMP390L pressure inlet — air passes, water blocked.</t>
  </si>
  <si>
    <t>5mm adhesive circle</t>
  </si>
  <si>
    <t>Over 0.3mm BMP390L vent hole. Equalises pressure, blocks liquid water.</t>
  </si>
  <si>
    <t xml:space="preserve">  MECHANICAL</t>
  </si>
  <si>
    <t>Li-Ion Battery 300mAh</t>
  </si>
  <si>
    <t>ICP622235PMT 302535</t>
  </si>
  <si>
    <t>Renata</t>
  </si>
  <si>
    <t>300mAh Li-Ion 302535 (3.7V) — doubled from 150mAh, ~1.5 day battery life.</t>
  </si>
  <si>
    <t>3.7V 300mAh</t>
  </si>
  <si>
    <t>3.0×25×35mm</t>
  </si>
  <si>
    <t>Spot-weld or direct-solder. NTC on cell body. DW01A in series. ~1.5 day life at 10mA avg.</t>
  </si>
  <si>
    <t>Magnetic Pogo Dock</t>
  </si>
  <si>
    <t>3-pin pogo custom</t>
  </si>
  <si>
    <t>Custom</t>
  </si>
  <si>
    <t>3-pin spring magnetic charging dock — eliminates USB-C port for clean IP67 compliance.</t>
  </si>
  <si>
    <t>5V 1A</t>
  </si>
  <si>
    <t>Pogo pins+dock</t>
  </si>
  <si>
    <t>aliexpress.com</t>
  </si>
  <si>
    <t>3 pins: GND/VBUS/data. Neodymium N35 alignment. Silicone cap when not charging.</t>
  </si>
  <si>
    <t>Silicone Strap+ECG Electrodes</t>
  </si>
  <si>
    <t>Custom 22mm</t>
  </si>
  <si>
    <t>Medical-grade silicone strap with 316L stainless steel ECG electrode contacts embedded.</t>
  </si>
  <si>
    <t>Kapton flex to MAX30001</t>
  </si>
  <si>
    <t>22mm×20cm silicone</t>
  </si>
  <si>
    <t>Min 10×10mm 316L stainless per contact. Kapton 0.1mm flex, twisted differential ECG routing.</t>
  </si>
  <si>
    <t>SLA 3D Enclosure</t>
  </si>
  <si>
    <t>Custom Fusion 360</t>
  </si>
  <si>
    <t>Shapeways</t>
  </si>
  <si>
    <t>SLA resin 2-part enclosure with O-ring groove, optical windows, port membranes, IP67.</t>
  </si>
  <si>
    <t>~35×30×12mm resin</t>
  </si>
  <si>
    <t>shapeways.com</t>
  </si>
  <si>
    <t>±0.1mm on O-ring groove. Optical window for PPG/MLX. STEP export. Sand→prime→paint.</t>
  </si>
  <si>
    <t>PCB 4-Layer 30×35mm</t>
  </si>
  <si>
    <t>Custom Gerber</t>
  </si>
  <si>
    <t>JLCPCB</t>
  </si>
  <si>
    <t>4-layer 30×35mm PCB, ENIG finish, 50Ω RF impedance, qty 5 from JLCPCB.</t>
  </si>
  <si>
    <t>4L 30×35mm Qty 5</t>
  </si>
  <si>
    <t>jlcpcb.com</t>
  </si>
  <si>
    <t>ENIG finish. 50Ω RF impedance. Stack: sig/GND/PWR/sig. Order stencil with board.</t>
  </si>
  <si>
    <t xml:space="preserve">  PROTECTION</t>
  </si>
  <si>
    <t>ESD TVS — ECG</t>
  </si>
  <si>
    <t>PRTR5V0U2X</t>
  </si>
  <si>
    <t>Nexperia</t>
  </si>
  <si>
    <t>Dual TVS diode on ECG electrode inputs — IEC 61000-4-2 Level 4 ESD (8kV contact).</t>
  </si>
  <si>
    <t>In-line ECGP/ECGN</t>
  </si>
  <si>
    <t>SOT-363</t>
  </si>
  <si>
    <t>Within 2mm of ECG pads. 5V clamp. IEC 61000-4-2 Level 4 (8kV contact).</t>
  </si>
  <si>
    <t>ESD TVS — Pogo</t>
  </si>
  <si>
    <t>USBLC6-2SC6</t>
  </si>
  <si>
    <t>STMicro</t>
  </si>
  <si>
    <t>TVS surge and ESD protection on magnetic pogo charging contacts.</t>
  </si>
  <si>
    <t>In-line pogo pins</t>
  </si>
  <si>
    <t>Before BQ25180 VIN. 0.5pF low capacitance for signal integrity.</t>
  </si>
  <si>
    <t xml:space="preserve">  DEBUG</t>
  </si>
  <si>
    <t>Tag-Connect TC2030 SWD</t>
  </si>
  <si>
    <t>TC2030-IDC-NL</t>
  </si>
  <si>
    <t>Tag-Connect</t>
  </si>
  <si>
    <t>Tag-Connect 6-pin SWD pads for J-Link flashing and debug — zero PCB area overhead.</t>
  </si>
  <si>
    <t>SWD nRF5340</t>
  </si>
  <si>
    <t>PCB pads only</t>
  </si>
  <si>
    <t>tag-connect.com</t>
  </si>
  <si>
    <t>Buy cable once (~€15). Small slot in enclosure for access during development.</t>
  </si>
  <si>
    <t xml:space="preserve">  PASSIVES</t>
  </si>
  <si>
    <t>100nF Decoupling Cap 0402</t>
  </si>
  <si>
    <t>GRM155R60J104KA01D</t>
  </si>
  <si>
    <t>Murata</t>
  </si>
  <si>
    <t>100nF 0402 bypass caps — one placed within 0.5mm of every VDD pin on every IC.</t>
  </si>
  <si>
    <t>0402 MLCC</t>
  </si>
  <si>
    <t>≤0.5mm from every VDD pin. ~38 total across all ICs.</t>
  </si>
  <si>
    <t>10µF Bulk Cap 0603</t>
  </si>
  <si>
    <t>GRM188R60J106ME47D</t>
  </si>
  <si>
    <t>10µF 0603 bulk decoupling caps — one per power rail output for transient response.</t>
  </si>
  <si>
    <t>0603 MLCC</t>
  </si>
  <si>
    <t>One per power rail output (TPS62840, both LP5907s, BQ25180).</t>
  </si>
  <si>
    <t>4.7kΩ I2C Pull-up 0402</t>
  </si>
  <si>
    <t>CRCW04024K70FKED</t>
  </si>
  <si>
    <t>Vishay</t>
  </si>
  <si>
    <t>4.7kΩ 0402 I2C pull-up resistors — two per bus (TWIM0 and TWIM1) to 3.3V rail.</t>
  </si>
  <si>
    <t>Two per bus × 2 buses (TWIM0+TWIM1). Pull to 3.3V rail.</t>
  </si>
  <si>
    <t>2.2µH Inductor</t>
  </si>
  <si>
    <t>LQM21DN2R2M00L</t>
  </si>
  <si>
    <t>2.2µH 0806 power inductor for TPS62840 buck converter switching stage.</t>
  </si>
  <si>
    <t>0806 (2016)</t>
  </si>
  <si>
    <t>800mA, 0.35Ω DCR. Between TPS62840 SW pin and output cap.</t>
  </si>
  <si>
    <t>NTC Thermistor 10kΩ</t>
  </si>
  <si>
    <t>NTCG103JF103FT1S</t>
  </si>
  <si>
    <t>TDK</t>
  </si>
  <si>
    <t>10kΩ NTC thermistor — battery temperature monitoring for safe charge management.</t>
  </si>
  <si>
    <t>BQ25180 TS pin</t>
  </si>
  <si>
    <t>On same board area as battery for thermal coupling. Prevents charging outside 0–45°C.</t>
  </si>
  <si>
    <t>TOTAL — 3 PROTOTYPE BUILDS (COMPONENTS ONLY, NFC REMOVED)</t>
  </si>
  <si>
    <t>nRF5340 Interface Map — 40 Components — NFC Removed</t>
  </si>
  <si>
    <t>All I2C addresses verified unique. No bus conflicts. NFC pins P0.02/P0.03 left unconnected.</t>
  </si>
  <si>
    <t>Bus/Interface</t>
  </si>
  <si>
    <t>Peripheral</t>
  </si>
  <si>
    <t>I2C Address</t>
  </si>
  <si>
    <t>VDD</t>
  </si>
  <si>
    <t>Data Rate</t>
  </si>
  <si>
    <t>IRQ/INT</t>
  </si>
  <si>
    <t>Notes</t>
  </si>
  <si>
    <t>Conflict Risk</t>
  </si>
  <si>
    <t>TWIM0 (I2C Bus 0)</t>
  </si>
  <si>
    <t>1.8V</t>
  </si>
  <si>
    <t>400kHz</t>
  </si>
  <si>
    <t>GPIO INT</t>
  </si>
  <si>
    <t>Optical sensor — interrupt on new data</t>
  </si>
  <si>
    <t>NONE ✓</t>
  </si>
  <si>
    <t>TWIM0</t>
  </si>
  <si>
    <t>Polling</t>
  </si>
  <si>
    <t>Changeable to 0x3B via EEPROM</t>
  </si>
  <si>
    <t>GPIO INT1</t>
  </si>
  <si>
    <t>AD0=VDD → 0x69 backup</t>
  </si>
  <si>
    <t>GPIO</t>
  </si>
  <si>
    <t>SDO=VDD → 0x77 backup</t>
  </si>
  <si>
    <t>Battery</t>
  </si>
  <si>
    <t>Charge status interrupt</t>
  </si>
  <si>
    <t>GPIO ALRT</t>
  </si>
  <si>
    <t>Low battery alert pin</t>
  </si>
  <si>
    <t>DRV2605L Haptic</t>
  </si>
  <si>
    <t>GPIO TRIG</t>
  </si>
  <si>
    <t>Standalone trigger available</t>
  </si>
  <si>
    <t>IS31FL3193 LED Driver</t>
  </si>
  <si>
    <t>None</t>
  </si>
  <si>
    <t>AD0=VDD → 0x75 backup</t>
  </si>
  <si>
    <t>TWIM1 (I2C Bus 1)</t>
  </si>
  <si>
    <t>CST816T Touch</t>
  </si>
  <si>
    <t>0x15 (fixed)</t>
  </si>
  <si>
    <t>Separated from sensor bus</t>
  </si>
  <si>
    <t>SPI0 (SPIM0)</t>
  </si>
  <si>
    <t>ST7789V2 Display</t>
  </si>
  <si>
    <t>8MHz</t>
  </si>
  <si>
    <t>DC/CS/RST GPIOs</t>
  </si>
  <si>
    <t>Display only</t>
  </si>
  <si>
    <t>SPI1 (SPIM1)</t>
  </si>
  <si>
    <t>1.8V/3.3V</t>
  </si>
  <si>
    <t>SPI for analog noise isolation</t>
  </si>
  <si>
    <t>ICS-43434 Microphone</t>
  </si>
  <si>
    <t>N/A (PDM)</t>
  </si>
  <si>
    <t>3.072MHz</t>
  </si>
  <si>
    <t>nRF5340 PDM peripheral for BLE HFP</t>
  </si>
  <si>
    <t>GPIO PWM</t>
  </si>
  <si>
    <t>Piezo Buzzer</t>
  </si>
  <si>
    <t>3.3V via NPN</t>
  </si>
  <si>
    <t>Variable</t>
  </si>
  <si>
    <t>2N3904 transistor driver</t>
  </si>
  <si>
    <t>BLE (nRF5340 net core)</t>
  </si>
  <si>
    <t>BLE 5.3 + HFP</t>
  </si>
  <si>
    <t>N/A (RF)</t>
  </si>
  <si>
    <t>Internal</t>
  </si>
  <si>
    <t>2.4GHz</t>
  </si>
  <si>
    <t>LE Audio for call audio, HFP call control</t>
  </si>
  <si>
    <t>NFC</t>
  </si>
  <si>
    <t>NOT USED</t>
  </si>
  <si>
    <t>—</t>
  </si>
  <si>
    <t>NFC removed from design — complexity vs benefit</t>
  </si>
  <si>
    <t>SWD (Tag-Connect)</t>
  </si>
  <si>
    <t>J-Link debug</t>
  </si>
  <si>
    <t>10MHz</t>
  </si>
  <si>
    <t>SWDIO/SWDCLK</t>
  </si>
  <si>
    <t>Development only</t>
  </si>
  <si>
    <t>Power Budget — 300mAh Battery — NFC Removed (saves ~5mA peak)</t>
  </si>
  <si>
    <t>Mode</t>
  </si>
  <si>
    <t>Typ mA</t>
  </si>
  <si>
    <t>Duty %</t>
  </si>
  <si>
    <t>Avg mA</t>
  </si>
  <si>
    <t>Rail</t>
  </si>
  <si>
    <t>nRF5340 (BLE active)</t>
  </si>
  <si>
    <t>Connected + app</t>
  </si>
  <si>
    <t>3.3V LDO</t>
  </si>
  <si>
    <t>BLE 5.3 connection interval 100ms</t>
  </si>
  <si>
    <t>MAX30102 PPG</t>
  </si>
  <si>
    <t>Measuring</t>
  </si>
  <si>
    <t>1.8V+3.3V</t>
  </si>
  <si>
    <t>Dual LP5907</t>
  </si>
  <si>
    <t>50% duty saves power</t>
  </si>
  <si>
    <t>ECG streaming</t>
  </si>
  <si>
    <t>1.8V LP5907</t>
  </si>
  <si>
    <t>30s measurement windows</t>
  </si>
  <si>
    <t>3.3V LP5907</t>
  </si>
  <si>
    <t>Measure every 5s</t>
  </si>
  <si>
    <t>Accel always on</t>
  </si>
  <si>
    <t>1.8V TPS62840</t>
  </si>
  <si>
    <t>Hardware step counter</t>
  </si>
  <si>
    <t>Every 10s for altitude</t>
  </si>
  <si>
    <t>Display (on)</t>
  </si>
  <si>
    <t>Full brightness</t>
  </si>
  <si>
    <t>20% on-time typical use</t>
  </si>
  <si>
    <t>Display (sleep)</t>
  </si>
  <si>
    <t>Off</t>
  </si>
  <si>
    <t>CS de-asserted, backlight off</t>
  </si>
  <si>
    <t>DRV2605L + LRA motor</t>
  </si>
  <si>
    <t>Haptic burst</t>
  </si>
  <si>
    <t>250ms burst per alert</t>
  </si>
  <si>
    <t>ICS-43434 Mic</t>
  </si>
  <si>
    <t>Call active</t>
  </si>
  <si>
    <t>Only during BLE calls</t>
  </si>
  <si>
    <t>IS31FL3193 + RGB LED</t>
  </si>
  <si>
    <t>Status blink</t>
  </si>
  <si>
    <t>5% duty for status indication</t>
  </si>
  <si>
    <t>Not charging</t>
  </si>
  <si>
    <t>Quiescent only</t>
  </si>
  <si>
    <t>Active</t>
  </si>
  <si>
    <t>Very low quiescent</t>
  </si>
  <si>
    <t>Ring alert</t>
  </si>
  <si>
    <t>1% duty ring alert</t>
  </si>
  <si>
    <t>NFC (REMOVED)</t>
  </si>
  <si>
    <t>N/A — not fitted</t>
  </si>
  <si>
    <t>NFC removed — saves complexity + PCB area</t>
  </si>
  <si>
    <t>TOTAL AVERAGE CURRENT (typical use, NFC excluded)</t>
  </si>
  <si>
    <t>300 mAh @ 3.7V</t>
  </si>
  <si>
    <t>Expected battery life (typical use)</t>
  </si>
  <si>
    <t>~22mA average → ~13.5 hours continuous → ~1.5 days real use</t>
  </si>
  <si>
    <t>Sleep current (all sensors gated)</t>
  </si>
  <si>
    <t>~1.5mA (BLE connected, display off, sensors off via load switches)</t>
  </si>
  <si>
    <t>Charge time (1A BQ25180)</t>
  </si>
  <si>
    <t>~40 min to 80% · ~60 min full charge</t>
  </si>
  <si>
    <t>Saving from NFC removal</t>
  </si>
  <si>
    <t>~0mA average (NFC was passive — no quiescent draw, but eliminates PCB complexity</t>
  </si>
  <si>
    <t>Cost Summary — 40 Components — NFC Removed</t>
  </si>
  <si>
    <t>Category</t>
  </si>
  <si>
    <t>Count</t>
  </si>
  <si>
    <t>Unit Cost €</t>
  </si>
  <si>
    <t>3-Unit Build €</t>
  </si>
  <si>
    <t>Microcontroller (nRF5340)</t>
  </si>
  <si>
    <t>Health Sensors (PPG+ECG+IR Temp)</t>
  </si>
  <si>
    <t>Motion + Environmental (IMU+Pressure)</t>
  </si>
  <si>
    <t>Display + Touch (Waveshare module)</t>
  </si>
  <si>
    <t>Power Management (charger+gauge+regs+switches)</t>
  </si>
  <si>
    <t>NFC — REMOVED FROM DESIGN</t>
  </si>
  <si>
    <t>Audio + Haptic (driver+motor+mic+buzzer)</t>
  </si>
  <si>
    <t>LED + Indicator (IS31FL3193+RGB)</t>
  </si>
  <si>
    <t>Timing (crystals ×2)</t>
  </si>
  <si>
    <t>Waterproofing (coat+O-ring+membranes)</t>
  </si>
  <si>
    <t>Mechanical (battery+enclosure+PCB+strap+pogo)</t>
  </si>
  <si>
    <t>Protection (ESD ×2)</t>
  </si>
  <si>
    <t>Passives (caps+resistors+inductors+NTC)</t>
  </si>
  <si>
    <t>Debug (Tag-Connect SWD pads)</t>
  </si>
  <si>
    <t>TOTAL — 40 COMPONENTS (NFC REMOVED)</t>
  </si>
  <si>
    <t>PCB Assembly (SMD reflow)</t>
  </si>
  <si>
    <t>€0 DIY or ~€120 JLCPCB PCBA service for 3 boards</t>
  </si>
  <si>
    <t>J-Link EDU Mini (one-time)</t>
  </si>
  <si>
    <t>~€22 — shop.segger.com</t>
  </si>
  <si>
    <t>nRF5340 DK development kit (one-time)</t>
  </si>
  <si>
    <t>~€45 — mouser.de</t>
  </si>
  <si>
    <t>Saving vs previous BOM (NFC removed)</t>
  </si>
  <si>
    <t>~€2.40 per unit saved (NFC chip + ferrite beads)</t>
  </si>
  <si>
    <t>Total 3-unit prototype budget</t>
  </si>
  <si>
    <t>~€410 DIY assembly / ~€530 with JLCPCB PCBA</t>
  </si>
  <si>
    <t xml:space="preserve">SMARTBAND V001 REV2 — Final Product BOM  ·  40 Components  ·  IP67  ·  nRF5340 BLE 5.3  ·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</si>
</sst>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€#,##0.00"/>
    <numFmt numFmtId="165" formatCode="0.00&quot; mA&quot;"/>
  </numFmts>
  <fonts count="3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9"/>
      <color rgb="FF1B3A6B"/>
      <name val="Arial"/>
      <charset val="1"/>
    </font>
    <font>
      <b/>
      <sz val="8"/>
      <color rgb="FF3C3C3C"/>
      <name val="Arial"/>
      <charset val="1"/>
    </font>
    <font>
      <b/>
      <sz val="9"/>
      <color rgb="FFFFFFFF"/>
      <name val="Arial"/>
      <charset val="1"/>
    </font>
    <font>
      <b/>
      <sz val="10"/>
      <color rgb="FF1B3A6B"/>
      <name val="Arial"/>
      <charset val="1"/>
    </font>
    <font>
      <b/>
      <sz val="9"/>
      <color rgb="FF2E75B6"/>
      <name val="Arial"/>
      <charset val="1"/>
    </font>
    <font>
      <sz val="9"/>
      <color rgb="FF0A6060"/>
      <name val="Arial"/>
      <charset val="1"/>
    </font>
    <font>
      <sz val="9"/>
      <color rgb="FF3C3C3C"/>
      <name val="Arial"/>
      <charset val="1"/>
    </font>
    <font>
      <b/>
      <sz val="9"/>
      <color rgb="FF1A6B3A"/>
      <name val="Arial"/>
      <charset val="1"/>
    </font>
    <font>
      <b/>
      <sz val="9"/>
      <color rgb="FFB03030"/>
      <name val="Arial"/>
      <charset val="1"/>
    </font>
    <font>
      <b/>
      <sz val="10"/>
      <color rgb="FF1A6B3A"/>
      <name val="Arial"/>
      <charset val="1"/>
    </font>
    <font>
      <b/>
      <sz val="9"/>
      <color rgb="FF856A00"/>
      <name val="Arial"/>
      <charset val="1"/>
    </font>
    <font>
      <b/>
      <sz val="10"/>
      <color rgb="FF856A00"/>
      <name val="Arial"/>
      <charset val="1"/>
    </font>
    <font>
      <b/>
      <sz val="10"/>
      <color rgb="FF5B0DAD"/>
      <name val="Arial"/>
      <charset val="1"/>
    </font>
    <font>
      <b/>
      <sz val="9"/>
      <color rgb="FF5B0DAD"/>
      <name val="Arial"/>
      <charset val="1"/>
    </font>
    <font>
      <b/>
      <sz val="10"/>
      <color rgb="FFB85000"/>
      <name val="Arial"/>
      <charset val="1"/>
    </font>
    <font>
      <b/>
      <sz val="9"/>
      <color rgb="FFB85000"/>
      <name val="Arial"/>
      <charset val="1"/>
    </font>
    <font>
      <b/>
      <sz val="10"/>
      <color rgb="FF0A6060"/>
      <name val="Arial"/>
      <charset val="1"/>
    </font>
    <font>
      <b/>
      <sz val="9"/>
      <color rgb="FF0A6060"/>
      <name val="Arial"/>
      <charset val="1"/>
    </font>
    <font>
      <b/>
      <sz val="10"/>
      <color rgb="FF8B0050"/>
      <name val="Arial"/>
      <charset val="1"/>
    </font>
    <font>
      <b/>
      <sz val="9"/>
      <color rgb="FF8B0050"/>
      <name val="Arial"/>
      <charset val="1"/>
    </font>
    <font>
      <b/>
      <sz val="10"/>
      <color rgb="FF3C3C3C"/>
      <name val="Arial"/>
      <charset val="1"/>
    </font>
    <font>
      <b/>
      <sz val="9"/>
      <color rgb="FF3C3C3C"/>
      <name val="Arial"/>
      <charset val="1"/>
    </font>
    <font>
      <b/>
      <sz val="10"/>
      <color rgb="FF006064"/>
      <name val="Arial"/>
      <charset val="1"/>
    </font>
    <font>
      <b/>
      <sz val="9"/>
      <color rgb="FF006064"/>
      <name val="Arial"/>
      <charset val="1"/>
    </font>
    <font>
      <b/>
      <sz val="10"/>
      <color rgb="FF6A1B9A"/>
      <name val="Arial"/>
      <charset val="1"/>
    </font>
    <font>
      <b/>
      <sz val="9"/>
      <color rgb="FF6A1B9A"/>
      <name val="Arial"/>
      <charset val="1"/>
    </font>
    <font>
      <b/>
      <sz val="10"/>
      <color rgb="FFB03030"/>
      <name val="Arial"/>
      <charset val="1"/>
    </font>
    <font>
      <b/>
      <sz val="10"/>
      <color rgb="FFFFFFFF"/>
      <name val="Arial"/>
      <charset val="1"/>
    </font>
    <font>
      <b/>
      <sz val="13"/>
      <color rgb="FFFFFFFF"/>
      <name val="Arial"/>
      <charset val="1"/>
    </font>
    <font>
      <sz val="9"/>
      <color rgb="FFB0303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color rgb="FF1B3A6B"/>
      <name val="Arial"/>
      <charset val="1"/>
    </font>
    <font>
      <b/>
      <sz val="12"/>
      <color rgb="FFFFFFFF"/>
      <name val="Arial"/>
      <charset val="1"/>
    </font>
    <font>
      <sz val="10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D6E4F0"/>
        <bgColor rgb="FFE0F4F4"/>
      </patternFill>
    </fill>
    <fill>
      <patternFill patternType="solid">
        <fgColor rgb="FFF4F6F9"/>
        <bgColor rgb="FFEAF5EE"/>
      </patternFill>
    </fill>
    <fill>
      <patternFill patternType="solid">
        <fgColor rgb="FFFFFFFF"/>
        <bgColor rgb="FFFFFBE6"/>
      </patternFill>
    </fill>
    <fill>
      <patternFill patternType="solid">
        <fgColor rgb="FFEAF5EE"/>
        <bgColor rgb="FFE0F4F4"/>
      </patternFill>
    </fill>
    <fill>
      <patternFill patternType="solid">
        <fgColor rgb="FFFDECEA"/>
        <bgColor rgb="FFFCE8F3"/>
      </patternFill>
    </fill>
    <fill>
      <patternFill patternType="solid">
        <fgColor rgb="FFFFFBE6"/>
        <bgColor rgb="FFFFF3E8"/>
      </patternFill>
    </fill>
    <fill>
      <patternFill patternType="solid">
        <fgColor rgb="FFF2E8FF"/>
        <bgColor rgb="FFF3E5F5"/>
      </patternFill>
    </fill>
    <fill>
      <patternFill patternType="solid">
        <fgColor rgb="FFFFF3E8"/>
        <bgColor rgb="FFFDECEA"/>
      </patternFill>
    </fill>
    <fill>
      <patternFill patternType="solid">
        <fgColor rgb="FFE0F4F4"/>
        <bgColor rgb="FFE0F7FA"/>
      </patternFill>
    </fill>
    <fill>
      <patternFill patternType="solid">
        <fgColor rgb="FFFCE8F3"/>
        <bgColor rgb="FFFDECEA"/>
      </patternFill>
    </fill>
    <fill>
      <patternFill patternType="solid">
        <fgColor rgb="FFE0F7FA"/>
        <bgColor rgb="FFE0F4F4"/>
      </patternFill>
    </fill>
    <fill>
      <patternFill patternType="solid">
        <fgColor rgb="FFF3E5F5"/>
        <bgColor rgb="FFF2E8FF"/>
      </patternFill>
    </fill>
  </fills>
  <borders count="3">
    <border>
      <left/>
      <right/>
      <top/>
      <bottom/>
      <diagonal/>
    </border>
    <border>
      <left style="thin">
        <color rgb="FF1B3A6B"/>
      </left>
      <right style="thin">
        <color rgb="FF1B3A6B"/>
      </right>
      <top style="medium">
        <color rgb="FF1B3A6B"/>
      </top>
      <bottom style="medium">
        <color rgb="FF1B3A6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164" fontId="8" fillId="5" borderId="2" xfId="0" applyNumberFormat="1" applyFont="1" applyFill="1" applyBorder="1" applyAlignment="1">
      <alignment horizontal="center" vertical="center" wrapText="1"/>
    </xf>
    <xf numFmtId="164" fontId="2" fillId="5" borderId="2" xfId="0" applyNumberFormat="1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164" fontId="8" fillId="4" borderId="2" xfId="0" applyNumberFormat="1" applyFont="1" applyFill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9" fillId="11" borderId="2" xfId="0" applyFont="1" applyFill="1" applyBorder="1" applyAlignment="1">
      <alignment horizontal="center" vertical="center" wrapText="1"/>
    </xf>
    <xf numFmtId="0" fontId="21" fillId="12" borderId="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0" fontId="25" fillId="13" borderId="2" xfId="0" applyFont="1" applyFill="1" applyBorder="1" applyAlignment="1">
      <alignment horizontal="center" vertical="center" wrapText="1"/>
    </xf>
    <xf numFmtId="0" fontId="27" fillId="14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3" fontId="29" fillId="2" borderId="1" xfId="0" applyNumberFormat="1" applyFont="1" applyFill="1" applyBorder="1" applyAlignment="1">
      <alignment horizontal="center" vertical="center"/>
    </xf>
    <xf numFmtId="164" fontId="29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29" fillId="2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19" fillId="5" borderId="2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vertical="center" wrapText="1"/>
    </xf>
    <xf numFmtId="0" fontId="31" fillId="7" borderId="2" xfId="0" applyFont="1" applyFill="1" applyBorder="1" applyAlignment="1">
      <alignment vertical="center" wrapText="1"/>
    </xf>
    <xf numFmtId="0" fontId="29" fillId="2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31" fillId="7" borderId="2" xfId="0" applyFont="1" applyFill="1" applyBorder="1" applyAlignment="1">
      <alignment horizontal="left" vertical="center"/>
    </xf>
    <xf numFmtId="0" fontId="31" fillId="7" borderId="2" xfId="0" applyFont="1" applyFill="1" applyBorder="1" applyAlignment="1">
      <alignment horizontal="center" vertical="center"/>
    </xf>
    <xf numFmtId="165" fontId="32" fillId="2" borderId="0" xfId="0" applyNumberFormat="1" applyFont="1" applyFill="1" applyAlignment="1">
      <alignment horizontal="center"/>
    </xf>
    <xf numFmtId="0" fontId="33" fillId="0" borderId="0" xfId="0" applyFont="1"/>
    <xf numFmtId="0" fontId="34" fillId="0" borderId="0" xfId="0" applyFont="1"/>
    <xf numFmtId="0" fontId="22" fillId="5" borderId="2" xfId="0" applyFont="1" applyFill="1" applyBorder="1"/>
    <xf numFmtId="0" fontId="0" fillId="5" borderId="2" xfId="0" applyFill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164" fontId="34" fillId="5" borderId="2" xfId="0" applyNumberFormat="1" applyFont="1" applyFill="1" applyBorder="1" applyAlignment="1">
      <alignment horizontal="center"/>
    </xf>
    <xf numFmtId="0" fontId="22" fillId="4" borderId="2" xfId="0" applyFont="1" applyFill="1" applyBorder="1"/>
    <xf numFmtId="0" fontId="0" fillId="4" borderId="2" xfId="0" applyFill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164" fontId="34" fillId="4" borderId="2" xfId="0" applyNumberFormat="1" applyFont="1" applyFill="1" applyBorder="1" applyAlignment="1">
      <alignment horizontal="center"/>
    </xf>
    <xf numFmtId="0" fontId="28" fillId="7" borderId="2" xfId="0" applyFont="1" applyFill="1" applyBorder="1"/>
    <xf numFmtId="0" fontId="0" fillId="7" borderId="2" xfId="0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164" fontId="34" fillId="7" borderId="2" xfId="0" applyNumberFormat="1" applyFont="1" applyFill="1" applyBorder="1" applyAlignment="1">
      <alignment horizontal="center"/>
    </xf>
    <xf numFmtId="0" fontId="35" fillId="2" borderId="1" xfId="0" applyFont="1" applyFill="1" applyBorder="1" applyAlignment="1">
      <alignment horizontal="right"/>
    </xf>
    <xf numFmtId="164" fontId="35" fillId="2" borderId="1" xfId="0" applyNumberFormat="1" applyFont="1" applyFill="1" applyBorder="1" applyAlignment="1">
      <alignment horizontal="center"/>
    </xf>
    <xf numFmtId="0" fontId="36" fillId="0" borderId="0" xfId="0" applyFont="1"/>
    <xf numFmtId="0" fontId="11" fillId="0" borderId="0" xfId="0" applyFont="1"/>
    <xf numFmtId="0" fontId="26" fillId="14" borderId="0" xfId="0" applyFont="1" applyFill="1" applyBorder="1" applyAlignment="1">
      <alignment horizontal="left" vertical="center"/>
    </xf>
    <xf numFmtId="0" fontId="28" fillId="7" borderId="0" xfId="0" applyFont="1" applyFill="1" applyBorder="1" applyAlignment="1">
      <alignment horizontal="left" vertical="center"/>
    </xf>
    <xf numFmtId="0" fontId="22" fillId="4" borderId="0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right" vertical="center"/>
    </xf>
    <xf numFmtId="0" fontId="20" fillId="12" borderId="0" xfId="0" applyFont="1" applyFill="1" applyBorder="1" applyAlignment="1">
      <alignment horizontal="left" vertical="center"/>
    </xf>
    <xf numFmtId="0" fontId="13" fillId="8" borderId="0" xfId="0" applyFont="1" applyFill="1" applyBorder="1" applyAlignment="1">
      <alignment horizontal="left" vertical="center"/>
    </xf>
    <xf numFmtId="0" fontId="24" fillId="13" borderId="0" xfId="0" applyFont="1" applyFill="1" applyBorder="1" applyAlignment="1">
      <alignment horizontal="left" vertical="center"/>
    </xf>
    <xf numFmtId="0" fontId="14" fillId="9" borderId="0" xfId="0" applyFont="1" applyFill="1" applyBorder="1" applyAlignment="1">
      <alignment horizontal="left" vertical="center"/>
    </xf>
    <xf numFmtId="0" fontId="16" fillId="10" borderId="0" xfId="0" applyFont="1" applyFill="1" applyBorder="1" applyAlignment="1">
      <alignment horizontal="left" vertical="center"/>
    </xf>
    <xf numFmtId="0" fontId="18" fillId="11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 vertical="center"/>
    </xf>
    <xf numFmtId="0" fontId="11" fillId="6" borderId="0" xfId="0" applyFont="1" applyFill="1" applyBorder="1" applyAlignment="1">
      <alignment horizontal="left" vertical="center"/>
    </xf>
    <xf numFmtId="0" fontId="30" fillId="2" borderId="0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/>
    </xf>
    <xf numFmtId="0" fontId="30" fillId="2" borderId="0" xfId="0" applyFont="1" applyFill="1" applyBorder="1" applyAlignment="1">
      <alignment horizontal="center"/>
    </xf>
    <xf numFmtId="0" fontId="32" fillId="2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4F6F9"/>
      <rgbColor rgb="FFFF00FF"/>
      <rgbColor rgb="FF00FFFF"/>
      <rgbColor rgb="FF800000"/>
      <rgbColor rgb="FF1A6B3A"/>
      <rgbColor rgb="FF000080"/>
      <rgbColor rgb="FF856A00"/>
      <rgbColor rgb="FF8B0050"/>
      <rgbColor rgb="FF006064"/>
      <rgbColor rgb="FFBBBBBB"/>
      <rgbColor rgb="FF808080"/>
      <rgbColor rgb="FF9999FF"/>
      <rgbColor rgb="FF993366"/>
      <rgbColor rgb="FFFFFBE6"/>
      <rgbColor rgb="FFE0F7FA"/>
      <rgbColor rgb="FF5B0DAD"/>
      <rgbColor rgb="FFFF8080"/>
      <rgbColor rgb="FF0066CC"/>
      <rgbColor rgb="FFD6E4F0"/>
      <rgbColor rgb="FF000080"/>
      <rgbColor rgb="FFFF00FF"/>
      <rgbColor rgb="FFFFFF00"/>
      <rgbColor rgb="FF00FFFF"/>
      <rgbColor rgb="FF6A1B9A"/>
      <rgbColor rgb="FF800000"/>
      <rgbColor rgb="FF0A6060"/>
      <rgbColor rgb="FF0000FF"/>
      <rgbColor rgb="FF00CCFF"/>
      <rgbColor rgb="FFE0F4F4"/>
      <rgbColor rgb="FFEAF5EE"/>
      <rgbColor rgb="FFFFF3E8"/>
      <rgbColor rgb="FFF3E5F5"/>
      <rgbColor rgb="FFFCE8F3"/>
      <rgbColor rgb="FFF2E8FF"/>
      <rgbColor rgb="FFFDECEA"/>
      <rgbColor rgb="FF2E75B6"/>
      <rgbColor rgb="FF33CCCC"/>
      <rgbColor rgb="FF99CC00"/>
      <rgbColor rgb="FFFFCC00"/>
      <rgbColor rgb="FFFF9900"/>
      <rgbColor rgb="FFB85000"/>
      <rgbColor rgb="FF666699"/>
      <rgbColor rgb="FF969696"/>
      <rgbColor rgb="FF1B3A6B"/>
      <rgbColor rgb="FF339966"/>
      <rgbColor rgb="FF003300"/>
      <rgbColor rgb="FF333300"/>
      <rgbColor rgb="FFB03030"/>
      <rgbColor rgb="FF993366"/>
      <rgbColor rgb="FF333399"/>
      <rgbColor rgb="FF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showGridLines="0" tabSelected="1" zoomScale="50" zoomScaleNormal="100" workbookViewId="0">
      <pane ySplit="5" topLeftCell="A44" activePane="bottomLeft" state="frozen"/>
      <selection pane="bottomLeft" activeCell="O5" sqref="O5"/>
    </sheetView>
  </sheetViews>
  <sheetFormatPr defaultColWidth="8.6640625" defaultRowHeight="14.25" x14ac:dyDescent="0.45"/>
  <cols>
    <col min="1" max="1" width="4" customWidth="1"/>
    <col min="2" max="3" width="26" customWidth="1"/>
    <col min="4" max="4" width="18" customWidth="1"/>
    <col min="5" max="5" width="44" customWidth="1"/>
    <col min="6" max="6" width="20" customWidth="1"/>
    <col min="7" max="7" width="18" customWidth="1"/>
    <col min="8" max="8" width="14" customWidth="1"/>
    <col min="9" max="9" width="16" customWidth="1"/>
    <col min="10" max="10" width="6" customWidth="1"/>
    <col min="11" max="11" width="7" customWidth="1"/>
    <col min="12" max="13" width="9" customWidth="1"/>
    <col min="14" max="14" width="16" customWidth="1"/>
    <col min="15" max="15" width="48" customWidth="1"/>
  </cols>
  <sheetData>
    <row r="1" spans="1:15" ht="33.75" customHeight="1" x14ac:dyDescent="0.45">
      <c r="A1" s="71" t="s">
        <v>477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pans="1:15" ht="13.5" customHeight="1" x14ac:dyDescent="0.45">
      <c r="A2" s="72" t="s">
        <v>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2.75" customHeight="1" x14ac:dyDescent="0.45">
      <c r="A3" s="73" t="s">
        <v>1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</row>
    <row r="4" spans="1:15" ht="4.5" customHeight="1" thickBot="1" x14ac:dyDescent="0.5"/>
    <row r="5" spans="1:15" ht="21.75" customHeight="1" thickBot="1" x14ac:dyDescent="0.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</row>
    <row r="6" spans="1:15" ht="18" customHeight="1" x14ac:dyDescent="0.45">
      <c r="A6" s="74" t="s">
        <v>17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</row>
    <row r="7" spans="1:15" ht="48" customHeight="1" x14ac:dyDescent="0.45">
      <c r="A7" s="2">
        <v>1</v>
      </c>
      <c r="B7" s="3" t="s">
        <v>18</v>
      </c>
      <c r="C7" s="4" t="s">
        <v>19</v>
      </c>
      <c r="D7" s="5" t="s">
        <v>20</v>
      </c>
      <c r="E7" s="5" t="s">
        <v>21</v>
      </c>
      <c r="F7" s="5" t="s">
        <v>22</v>
      </c>
      <c r="G7" s="5" t="s">
        <v>23</v>
      </c>
      <c r="H7" s="5" t="s">
        <v>24</v>
      </c>
      <c r="I7" s="5" t="s">
        <v>25</v>
      </c>
      <c r="J7" s="6">
        <v>1</v>
      </c>
      <c r="K7" s="6">
        <v>3</v>
      </c>
      <c r="L7" s="7">
        <v>8.5</v>
      </c>
      <c r="M7" s="8">
        <f>L7*K7</f>
        <v>25.5</v>
      </c>
      <c r="N7" s="5" t="s">
        <v>26</v>
      </c>
      <c r="O7" s="5" t="s">
        <v>27</v>
      </c>
    </row>
    <row r="8" spans="1:15" ht="18" customHeight="1" x14ac:dyDescent="0.45">
      <c r="A8" s="75" t="s">
        <v>28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</row>
    <row r="9" spans="1:15" ht="48" customHeight="1" x14ac:dyDescent="0.45">
      <c r="A9" s="9">
        <v>2</v>
      </c>
      <c r="B9" s="3" t="s">
        <v>29</v>
      </c>
      <c r="C9" s="4" t="s">
        <v>30</v>
      </c>
      <c r="D9" s="5" t="s">
        <v>31</v>
      </c>
      <c r="E9" s="5" t="s">
        <v>32</v>
      </c>
      <c r="F9" s="5" t="s">
        <v>33</v>
      </c>
      <c r="G9" s="5" t="s">
        <v>34</v>
      </c>
      <c r="H9" s="5" t="s">
        <v>35</v>
      </c>
      <c r="I9" s="5" t="s">
        <v>36</v>
      </c>
      <c r="J9" s="6">
        <v>1</v>
      </c>
      <c r="K9" s="6">
        <v>3</v>
      </c>
      <c r="L9" s="7">
        <v>4.2</v>
      </c>
      <c r="M9" s="8">
        <f>L9*K9</f>
        <v>12.600000000000001</v>
      </c>
      <c r="N9" s="5" t="s">
        <v>26</v>
      </c>
      <c r="O9" s="5" t="s">
        <v>37</v>
      </c>
    </row>
    <row r="10" spans="1:15" ht="48" customHeight="1" x14ac:dyDescent="0.45">
      <c r="A10" s="9">
        <v>3</v>
      </c>
      <c r="B10" s="10" t="s">
        <v>38</v>
      </c>
      <c r="C10" s="11" t="s">
        <v>39</v>
      </c>
      <c r="D10" s="12" t="s">
        <v>31</v>
      </c>
      <c r="E10" s="12" t="s">
        <v>40</v>
      </c>
      <c r="F10" s="12" t="s">
        <v>41</v>
      </c>
      <c r="G10" s="12" t="s">
        <v>42</v>
      </c>
      <c r="H10" s="12" t="s">
        <v>43</v>
      </c>
      <c r="I10" s="12" t="s">
        <v>44</v>
      </c>
      <c r="J10" s="13">
        <v>1</v>
      </c>
      <c r="K10" s="13">
        <v>3</v>
      </c>
      <c r="L10" s="14">
        <v>9.5</v>
      </c>
      <c r="M10" s="15">
        <f>L10*K10</f>
        <v>28.5</v>
      </c>
      <c r="N10" s="12" t="s">
        <v>26</v>
      </c>
      <c r="O10" s="12" t="s">
        <v>45</v>
      </c>
    </row>
    <row r="11" spans="1:15" ht="48" customHeight="1" x14ac:dyDescent="0.45">
      <c r="A11" s="9">
        <v>4</v>
      </c>
      <c r="B11" s="3" t="s">
        <v>46</v>
      </c>
      <c r="C11" s="4" t="s">
        <v>47</v>
      </c>
      <c r="D11" s="5" t="s">
        <v>48</v>
      </c>
      <c r="E11" s="5" t="s">
        <v>49</v>
      </c>
      <c r="F11" s="5" t="s">
        <v>33</v>
      </c>
      <c r="G11" s="5" t="s">
        <v>50</v>
      </c>
      <c r="H11" s="5" t="s">
        <v>51</v>
      </c>
      <c r="I11" s="5" t="s">
        <v>52</v>
      </c>
      <c r="J11" s="6">
        <v>1</v>
      </c>
      <c r="K11" s="6">
        <v>3</v>
      </c>
      <c r="L11" s="7">
        <v>4.5</v>
      </c>
      <c r="M11" s="8">
        <f>L11*K11</f>
        <v>13.5</v>
      </c>
      <c r="N11" s="5" t="s">
        <v>26</v>
      </c>
      <c r="O11" s="5" t="s">
        <v>53</v>
      </c>
    </row>
    <row r="12" spans="1:15" ht="18" customHeight="1" x14ac:dyDescent="0.45">
      <c r="A12" s="66" t="s">
        <v>54</v>
      </c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</row>
    <row r="13" spans="1:15" ht="48" customHeight="1" x14ac:dyDescent="0.45">
      <c r="A13" s="16">
        <v>5</v>
      </c>
      <c r="B13" s="3" t="s">
        <v>55</v>
      </c>
      <c r="C13" s="4" t="s">
        <v>56</v>
      </c>
      <c r="D13" s="5" t="s">
        <v>57</v>
      </c>
      <c r="E13" s="5" t="s">
        <v>58</v>
      </c>
      <c r="F13" s="5" t="s">
        <v>33</v>
      </c>
      <c r="G13" s="5" t="s">
        <v>59</v>
      </c>
      <c r="H13" s="5" t="s">
        <v>60</v>
      </c>
      <c r="I13" s="5" t="s">
        <v>61</v>
      </c>
      <c r="J13" s="6">
        <v>1</v>
      </c>
      <c r="K13" s="6">
        <v>3</v>
      </c>
      <c r="L13" s="7">
        <v>3.8</v>
      </c>
      <c r="M13" s="8">
        <f>L13*K13</f>
        <v>11.399999999999999</v>
      </c>
      <c r="N13" s="5" t="s">
        <v>26</v>
      </c>
      <c r="O13" s="5" t="s">
        <v>62</v>
      </c>
    </row>
    <row r="14" spans="1:15" ht="18" customHeight="1" x14ac:dyDescent="0.45">
      <c r="A14" s="66" t="s">
        <v>63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</row>
    <row r="15" spans="1:15" ht="48" customHeight="1" x14ac:dyDescent="0.45">
      <c r="A15" s="16">
        <v>6</v>
      </c>
      <c r="B15" s="3" t="s">
        <v>64</v>
      </c>
      <c r="C15" s="4" t="s">
        <v>65</v>
      </c>
      <c r="D15" s="5" t="s">
        <v>66</v>
      </c>
      <c r="E15" s="5" t="s">
        <v>67</v>
      </c>
      <c r="F15" s="5" t="s">
        <v>33</v>
      </c>
      <c r="G15" s="5" t="s">
        <v>68</v>
      </c>
      <c r="H15" s="5" t="s">
        <v>69</v>
      </c>
      <c r="I15" s="5" t="s">
        <v>70</v>
      </c>
      <c r="J15" s="6">
        <v>1</v>
      </c>
      <c r="K15" s="6">
        <v>3</v>
      </c>
      <c r="L15" s="7">
        <v>2.2000000000000002</v>
      </c>
      <c r="M15" s="8">
        <f>L15*K15</f>
        <v>6.6000000000000005</v>
      </c>
      <c r="N15" s="5" t="s">
        <v>26</v>
      </c>
      <c r="O15" s="5" t="s">
        <v>71</v>
      </c>
    </row>
    <row r="16" spans="1:15" ht="18" customHeight="1" x14ac:dyDescent="0.45">
      <c r="A16" s="68" t="s">
        <v>72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</row>
    <row r="17" spans="1:15" ht="48" customHeight="1" x14ac:dyDescent="0.45">
      <c r="A17" s="17">
        <v>7</v>
      </c>
      <c r="B17" s="3" t="s">
        <v>73</v>
      </c>
      <c r="C17" s="4" t="s">
        <v>74</v>
      </c>
      <c r="D17" s="5" t="s">
        <v>75</v>
      </c>
      <c r="E17" s="5" t="s">
        <v>76</v>
      </c>
      <c r="F17" s="5" t="s">
        <v>77</v>
      </c>
      <c r="G17" s="5" t="s">
        <v>78</v>
      </c>
      <c r="H17" s="5" t="s">
        <v>79</v>
      </c>
      <c r="I17" s="5" t="s">
        <v>80</v>
      </c>
      <c r="J17" s="6">
        <v>1</v>
      </c>
      <c r="K17" s="6">
        <v>3</v>
      </c>
      <c r="L17" s="7">
        <v>20</v>
      </c>
      <c r="M17" s="8">
        <f>L17*K17</f>
        <v>60</v>
      </c>
      <c r="N17" s="5" t="s">
        <v>81</v>
      </c>
      <c r="O17" s="5" t="s">
        <v>82</v>
      </c>
    </row>
    <row r="18" spans="1:15" ht="18" customHeight="1" x14ac:dyDescent="0.45">
      <c r="A18" s="69" t="s">
        <v>83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</row>
    <row r="19" spans="1:15" ht="48" customHeight="1" x14ac:dyDescent="0.45">
      <c r="A19" s="18">
        <v>8</v>
      </c>
      <c r="B19" s="3" t="s">
        <v>84</v>
      </c>
      <c r="C19" s="4" t="s">
        <v>85</v>
      </c>
      <c r="D19" s="5" t="s">
        <v>86</v>
      </c>
      <c r="E19" s="5" t="s">
        <v>87</v>
      </c>
      <c r="F19" s="5" t="s">
        <v>33</v>
      </c>
      <c r="G19" s="5" t="s">
        <v>88</v>
      </c>
      <c r="H19" s="5" t="s">
        <v>89</v>
      </c>
      <c r="I19" s="5" t="s">
        <v>90</v>
      </c>
      <c r="J19" s="6">
        <v>1</v>
      </c>
      <c r="K19" s="6">
        <v>3</v>
      </c>
      <c r="L19" s="7">
        <v>1.8</v>
      </c>
      <c r="M19" s="8">
        <f t="shared" ref="M19:M25" si="0">L19*K19</f>
        <v>5.4</v>
      </c>
      <c r="N19" s="5" t="s">
        <v>26</v>
      </c>
      <c r="O19" s="5" t="s">
        <v>91</v>
      </c>
    </row>
    <row r="20" spans="1:15" ht="48" customHeight="1" x14ac:dyDescent="0.45">
      <c r="A20" s="18">
        <v>9</v>
      </c>
      <c r="B20" s="10" t="s">
        <v>92</v>
      </c>
      <c r="C20" s="11" t="s">
        <v>93</v>
      </c>
      <c r="D20" s="12" t="s">
        <v>31</v>
      </c>
      <c r="E20" s="12" t="s">
        <v>94</v>
      </c>
      <c r="F20" s="12" t="s">
        <v>33</v>
      </c>
      <c r="G20" s="12" t="s">
        <v>95</v>
      </c>
      <c r="H20" s="12" t="s">
        <v>96</v>
      </c>
      <c r="I20" s="12" t="s">
        <v>97</v>
      </c>
      <c r="J20" s="13">
        <v>1</v>
      </c>
      <c r="K20" s="13">
        <v>3</v>
      </c>
      <c r="L20" s="14">
        <v>2.1</v>
      </c>
      <c r="M20" s="15">
        <f t="shared" si="0"/>
        <v>6.3000000000000007</v>
      </c>
      <c r="N20" s="12" t="s">
        <v>26</v>
      </c>
      <c r="O20" s="12" t="s">
        <v>98</v>
      </c>
    </row>
    <row r="21" spans="1:15" ht="48" customHeight="1" x14ac:dyDescent="0.45">
      <c r="A21" s="18">
        <v>10</v>
      </c>
      <c r="B21" s="3" t="s">
        <v>99</v>
      </c>
      <c r="C21" s="4" t="s">
        <v>100</v>
      </c>
      <c r="D21" s="5" t="s">
        <v>86</v>
      </c>
      <c r="E21" s="5" t="s">
        <v>101</v>
      </c>
      <c r="F21" s="5" t="s">
        <v>102</v>
      </c>
      <c r="G21" s="5" t="s">
        <v>103</v>
      </c>
      <c r="H21" s="5" t="s">
        <v>104</v>
      </c>
      <c r="I21" s="5" t="s">
        <v>105</v>
      </c>
      <c r="J21" s="6">
        <v>1</v>
      </c>
      <c r="K21" s="6">
        <v>3</v>
      </c>
      <c r="L21" s="7">
        <v>2.5</v>
      </c>
      <c r="M21" s="8">
        <f t="shared" si="0"/>
        <v>7.5</v>
      </c>
      <c r="N21" s="5" t="s">
        <v>26</v>
      </c>
      <c r="O21" s="5" t="s">
        <v>106</v>
      </c>
    </row>
    <row r="22" spans="1:15" ht="48" customHeight="1" x14ac:dyDescent="0.45">
      <c r="A22" s="18">
        <v>11</v>
      </c>
      <c r="B22" s="10" t="s">
        <v>107</v>
      </c>
      <c r="C22" s="11" t="s">
        <v>108</v>
      </c>
      <c r="D22" s="12" t="s">
        <v>86</v>
      </c>
      <c r="E22" s="12" t="s">
        <v>109</v>
      </c>
      <c r="F22" s="12" t="s">
        <v>110</v>
      </c>
      <c r="G22" s="12" t="s">
        <v>103</v>
      </c>
      <c r="H22" s="12" t="s">
        <v>111</v>
      </c>
      <c r="I22" s="12" t="s">
        <v>97</v>
      </c>
      <c r="J22" s="13">
        <v>1</v>
      </c>
      <c r="K22" s="13">
        <v>3</v>
      </c>
      <c r="L22" s="14">
        <v>1.2</v>
      </c>
      <c r="M22" s="15">
        <f t="shared" si="0"/>
        <v>3.5999999999999996</v>
      </c>
      <c r="N22" s="12" t="s">
        <v>26</v>
      </c>
      <c r="O22" s="12" t="s">
        <v>112</v>
      </c>
    </row>
    <row r="23" spans="1:15" ht="48" customHeight="1" x14ac:dyDescent="0.45">
      <c r="A23" s="18">
        <v>12</v>
      </c>
      <c r="B23" s="3" t="s">
        <v>113</v>
      </c>
      <c r="C23" s="4" t="s">
        <v>114</v>
      </c>
      <c r="D23" s="5" t="s">
        <v>86</v>
      </c>
      <c r="E23" s="5" t="s">
        <v>115</v>
      </c>
      <c r="F23" s="5" t="s">
        <v>116</v>
      </c>
      <c r="G23" s="5" t="s">
        <v>103</v>
      </c>
      <c r="H23" s="5" t="s">
        <v>117</v>
      </c>
      <c r="I23" s="5" t="s">
        <v>97</v>
      </c>
      <c r="J23" s="6">
        <v>1</v>
      </c>
      <c r="K23" s="6">
        <v>3</v>
      </c>
      <c r="L23" s="7">
        <v>1.2</v>
      </c>
      <c r="M23" s="8">
        <f t="shared" si="0"/>
        <v>3.5999999999999996</v>
      </c>
      <c r="N23" s="5" t="s">
        <v>26</v>
      </c>
      <c r="O23" s="5" t="s">
        <v>118</v>
      </c>
    </row>
    <row r="24" spans="1:15" ht="48" customHeight="1" x14ac:dyDescent="0.45">
      <c r="A24" s="18">
        <v>13</v>
      </c>
      <c r="B24" s="10" t="s">
        <v>119</v>
      </c>
      <c r="C24" s="11" t="s">
        <v>120</v>
      </c>
      <c r="D24" s="12" t="s">
        <v>121</v>
      </c>
      <c r="E24" s="12" t="s">
        <v>122</v>
      </c>
      <c r="F24" s="12" t="s">
        <v>123</v>
      </c>
      <c r="G24" s="12" t="s">
        <v>103</v>
      </c>
      <c r="H24" s="12" t="s">
        <v>124</v>
      </c>
      <c r="I24" s="12" t="s">
        <v>125</v>
      </c>
      <c r="J24" s="13">
        <v>1</v>
      </c>
      <c r="K24" s="13">
        <v>3</v>
      </c>
      <c r="L24" s="14">
        <v>0.8</v>
      </c>
      <c r="M24" s="15">
        <f t="shared" si="0"/>
        <v>2.4000000000000004</v>
      </c>
      <c r="N24" s="12" t="s">
        <v>126</v>
      </c>
      <c r="O24" s="12" t="s">
        <v>127</v>
      </c>
    </row>
    <row r="25" spans="1:15" ht="48" customHeight="1" x14ac:dyDescent="0.45">
      <c r="A25" s="18">
        <v>14</v>
      </c>
      <c r="B25" s="3" t="s">
        <v>128</v>
      </c>
      <c r="C25" s="4" t="s">
        <v>129</v>
      </c>
      <c r="D25" s="5" t="s">
        <v>86</v>
      </c>
      <c r="E25" s="5" t="s">
        <v>130</v>
      </c>
      <c r="F25" s="5" t="s">
        <v>131</v>
      </c>
      <c r="G25" s="5" t="s">
        <v>103</v>
      </c>
      <c r="H25" s="5" t="s">
        <v>132</v>
      </c>
      <c r="I25" s="5" t="s">
        <v>133</v>
      </c>
      <c r="J25" s="6">
        <v>3</v>
      </c>
      <c r="K25" s="6">
        <v>9</v>
      </c>
      <c r="L25" s="7">
        <v>0.6</v>
      </c>
      <c r="M25" s="8">
        <f t="shared" si="0"/>
        <v>5.3999999999999995</v>
      </c>
      <c r="N25" s="5" t="s">
        <v>26</v>
      </c>
      <c r="O25" s="5" t="s">
        <v>134</v>
      </c>
    </row>
    <row r="26" spans="1:15" ht="18" customHeight="1" x14ac:dyDescent="0.45">
      <c r="A26" s="70" t="s">
        <v>135</v>
      </c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</row>
    <row r="27" spans="1:15" ht="48" customHeight="1" x14ac:dyDescent="0.45">
      <c r="A27" s="19">
        <v>15</v>
      </c>
      <c r="B27" s="3" t="s">
        <v>136</v>
      </c>
      <c r="C27" s="4" t="s">
        <v>137</v>
      </c>
      <c r="D27" s="5" t="s">
        <v>138</v>
      </c>
      <c r="E27" s="5" t="s">
        <v>139</v>
      </c>
      <c r="F27" s="5" t="s">
        <v>140</v>
      </c>
      <c r="G27" s="5" t="s">
        <v>103</v>
      </c>
      <c r="H27" s="5" t="s">
        <v>103</v>
      </c>
      <c r="I27" s="5" t="s">
        <v>141</v>
      </c>
      <c r="J27" s="6">
        <v>1</v>
      </c>
      <c r="K27" s="6">
        <v>3</v>
      </c>
      <c r="L27" s="7">
        <v>0.8</v>
      </c>
      <c r="M27" s="8">
        <f>L27*K27</f>
        <v>2.4000000000000004</v>
      </c>
      <c r="N27" s="5" t="s">
        <v>26</v>
      </c>
      <c r="O27" s="5" t="s">
        <v>142</v>
      </c>
    </row>
    <row r="28" spans="1:15" ht="18" customHeight="1" x14ac:dyDescent="0.45">
      <c r="A28" s="65" t="s">
        <v>143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spans="1:15" ht="48" customHeight="1" x14ac:dyDescent="0.45">
      <c r="A29" s="20">
        <v>16</v>
      </c>
      <c r="B29" s="3" t="s">
        <v>144</v>
      </c>
      <c r="C29" s="4" t="s">
        <v>145</v>
      </c>
      <c r="D29" s="5" t="s">
        <v>86</v>
      </c>
      <c r="E29" s="5" t="s">
        <v>146</v>
      </c>
      <c r="F29" s="5" t="s">
        <v>33</v>
      </c>
      <c r="G29" s="5" t="s">
        <v>147</v>
      </c>
      <c r="H29" s="5" t="s">
        <v>148</v>
      </c>
      <c r="I29" s="5" t="s">
        <v>149</v>
      </c>
      <c r="J29" s="6">
        <v>1</v>
      </c>
      <c r="K29" s="6">
        <v>3</v>
      </c>
      <c r="L29" s="7">
        <v>2.8</v>
      </c>
      <c r="M29" s="8">
        <f>L29*K29</f>
        <v>8.3999999999999986</v>
      </c>
      <c r="N29" s="5" t="s">
        <v>26</v>
      </c>
      <c r="O29" s="5" t="s">
        <v>150</v>
      </c>
    </row>
    <row r="30" spans="1:15" ht="48" customHeight="1" x14ac:dyDescent="0.45">
      <c r="A30" s="20">
        <v>17</v>
      </c>
      <c r="B30" s="10" t="s">
        <v>151</v>
      </c>
      <c r="C30" s="11" t="s">
        <v>152</v>
      </c>
      <c r="D30" s="12" t="s">
        <v>153</v>
      </c>
      <c r="E30" s="12" t="s">
        <v>154</v>
      </c>
      <c r="F30" s="12" t="s">
        <v>155</v>
      </c>
      <c r="G30" s="12" t="s">
        <v>103</v>
      </c>
      <c r="H30" s="12" t="s">
        <v>156</v>
      </c>
      <c r="I30" s="12" t="s">
        <v>157</v>
      </c>
      <c r="J30" s="13">
        <v>1</v>
      </c>
      <c r="K30" s="13">
        <v>3</v>
      </c>
      <c r="L30" s="14">
        <v>2.5</v>
      </c>
      <c r="M30" s="15">
        <f>L30*K30</f>
        <v>7.5</v>
      </c>
      <c r="N30" s="12" t="s">
        <v>158</v>
      </c>
      <c r="O30" s="12" t="s">
        <v>159</v>
      </c>
    </row>
    <row r="31" spans="1:15" ht="18" customHeight="1" x14ac:dyDescent="0.45">
      <c r="A31" s="65" t="s">
        <v>160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spans="1:15" ht="48" customHeight="1" x14ac:dyDescent="0.45">
      <c r="A32" s="20">
        <v>18</v>
      </c>
      <c r="B32" s="10" t="s">
        <v>161</v>
      </c>
      <c r="C32" s="11" t="s">
        <v>162</v>
      </c>
      <c r="D32" s="12" t="s">
        <v>57</v>
      </c>
      <c r="E32" s="12" t="s">
        <v>163</v>
      </c>
      <c r="F32" s="12" t="s">
        <v>164</v>
      </c>
      <c r="G32" s="12" t="s">
        <v>103</v>
      </c>
      <c r="H32" s="12" t="s">
        <v>165</v>
      </c>
      <c r="I32" s="12" t="s">
        <v>166</v>
      </c>
      <c r="J32" s="13">
        <v>1</v>
      </c>
      <c r="K32" s="13">
        <v>3</v>
      </c>
      <c r="L32" s="14">
        <v>1.8</v>
      </c>
      <c r="M32" s="15">
        <f>L32*K32</f>
        <v>5.4</v>
      </c>
      <c r="N32" s="12" t="s">
        <v>26</v>
      </c>
      <c r="O32" s="12" t="s">
        <v>167</v>
      </c>
    </row>
    <row r="33" spans="1:15" ht="48" customHeight="1" x14ac:dyDescent="0.45">
      <c r="A33" s="20">
        <v>19</v>
      </c>
      <c r="B33" s="3" t="s">
        <v>168</v>
      </c>
      <c r="C33" s="4" t="s">
        <v>169</v>
      </c>
      <c r="D33" s="5" t="s">
        <v>170</v>
      </c>
      <c r="E33" s="5" t="s">
        <v>171</v>
      </c>
      <c r="F33" s="5" t="s">
        <v>172</v>
      </c>
      <c r="G33" s="5" t="s">
        <v>103</v>
      </c>
      <c r="H33" s="5" t="s">
        <v>165</v>
      </c>
      <c r="I33" s="5" t="s">
        <v>173</v>
      </c>
      <c r="J33" s="6">
        <v>1</v>
      </c>
      <c r="K33" s="6">
        <v>3</v>
      </c>
      <c r="L33" s="7">
        <v>0.8</v>
      </c>
      <c r="M33" s="8">
        <f>L33*K33</f>
        <v>2.4000000000000004</v>
      </c>
      <c r="N33" s="5" t="s">
        <v>174</v>
      </c>
      <c r="O33" s="5" t="s">
        <v>175</v>
      </c>
    </row>
    <row r="34" spans="1:15" ht="18" customHeight="1" x14ac:dyDescent="0.45">
      <c r="A34" s="66" t="s">
        <v>176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</row>
    <row r="35" spans="1:15" ht="48" customHeight="1" x14ac:dyDescent="0.45">
      <c r="A35" s="16">
        <v>20</v>
      </c>
      <c r="B35" s="3" t="s">
        <v>177</v>
      </c>
      <c r="C35" s="4" t="s">
        <v>178</v>
      </c>
      <c r="D35" s="5" t="s">
        <v>179</v>
      </c>
      <c r="E35" s="5" t="s">
        <v>180</v>
      </c>
      <c r="F35" s="5" t="s">
        <v>33</v>
      </c>
      <c r="G35" s="5" t="s">
        <v>181</v>
      </c>
      <c r="H35" s="5" t="s">
        <v>182</v>
      </c>
      <c r="I35" s="5" t="s">
        <v>183</v>
      </c>
      <c r="J35" s="6">
        <v>1</v>
      </c>
      <c r="K35" s="6">
        <v>3</v>
      </c>
      <c r="L35" s="7">
        <v>1.5</v>
      </c>
      <c r="M35" s="8">
        <f>L35*K35</f>
        <v>4.5</v>
      </c>
      <c r="N35" s="5" t="s">
        <v>26</v>
      </c>
      <c r="O35" s="5" t="s">
        <v>184</v>
      </c>
    </row>
    <row r="36" spans="1:15" ht="48" customHeight="1" x14ac:dyDescent="0.45">
      <c r="A36" s="16">
        <v>21</v>
      </c>
      <c r="B36" s="10" t="s">
        <v>185</v>
      </c>
      <c r="C36" s="11" t="s">
        <v>186</v>
      </c>
      <c r="D36" s="12" t="s">
        <v>187</v>
      </c>
      <c r="E36" s="12" t="s">
        <v>188</v>
      </c>
      <c r="F36" s="12" t="s">
        <v>189</v>
      </c>
      <c r="G36" s="12" t="s">
        <v>103</v>
      </c>
      <c r="H36" s="12" t="s">
        <v>190</v>
      </c>
      <c r="I36" s="12" t="s">
        <v>191</v>
      </c>
      <c r="J36" s="13">
        <v>3</v>
      </c>
      <c r="K36" s="13">
        <v>9</v>
      </c>
      <c r="L36" s="14">
        <v>0.2</v>
      </c>
      <c r="M36" s="15">
        <f>L36*K36</f>
        <v>1.8</v>
      </c>
      <c r="N36" s="12" t="s">
        <v>26</v>
      </c>
      <c r="O36" s="12" t="s">
        <v>192</v>
      </c>
    </row>
    <row r="37" spans="1:15" ht="18" customHeight="1" x14ac:dyDescent="0.45">
      <c r="A37" s="63" t="s">
        <v>193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 spans="1:15" ht="48" customHeight="1" x14ac:dyDescent="0.45">
      <c r="A38" s="21">
        <v>22</v>
      </c>
      <c r="B38" s="10" t="s">
        <v>194</v>
      </c>
      <c r="C38" s="11" t="s">
        <v>195</v>
      </c>
      <c r="D38" s="12" t="s">
        <v>196</v>
      </c>
      <c r="E38" s="12" t="s">
        <v>197</v>
      </c>
      <c r="F38" s="12" t="s">
        <v>198</v>
      </c>
      <c r="G38" s="12" t="s">
        <v>103</v>
      </c>
      <c r="H38" s="12" t="s">
        <v>103</v>
      </c>
      <c r="I38" s="12" t="s">
        <v>199</v>
      </c>
      <c r="J38" s="13">
        <v>1</v>
      </c>
      <c r="K38" s="13">
        <v>3</v>
      </c>
      <c r="L38" s="14">
        <v>0.9</v>
      </c>
      <c r="M38" s="15">
        <f>L38*K38</f>
        <v>2.7</v>
      </c>
      <c r="N38" s="12" t="s">
        <v>26</v>
      </c>
      <c r="O38" s="12" t="s">
        <v>200</v>
      </c>
    </row>
    <row r="39" spans="1:15" ht="48" customHeight="1" x14ac:dyDescent="0.45">
      <c r="A39" s="21">
        <v>23</v>
      </c>
      <c r="B39" s="3" t="s">
        <v>201</v>
      </c>
      <c r="C39" s="4" t="s">
        <v>202</v>
      </c>
      <c r="D39" s="5" t="s">
        <v>203</v>
      </c>
      <c r="E39" s="5" t="s">
        <v>204</v>
      </c>
      <c r="F39" s="5" t="s">
        <v>205</v>
      </c>
      <c r="G39" s="5" t="s">
        <v>103</v>
      </c>
      <c r="H39" s="5" t="s">
        <v>103</v>
      </c>
      <c r="I39" s="5" t="s">
        <v>206</v>
      </c>
      <c r="J39" s="6">
        <v>1</v>
      </c>
      <c r="K39" s="6">
        <v>3</v>
      </c>
      <c r="L39" s="7">
        <v>0.5</v>
      </c>
      <c r="M39" s="8">
        <f>L39*K39</f>
        <v>1.5</v>
      </c>
      <c r="N39" s="5" t="s">
        <v>26</v>
      </c>
      <c r="O39" s="5" t="s">
        <v>207</v>
      </c>
    </row>
    <row r="40" spans="1:15" ht="18" customHeight="1" x14ac:dyDescent="0.45">
      <c r="A40" s="67" t="s">
        <v>208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</row>
    <row r="41" spans="1:15" ht="48" customHeight="1" x14ac:dyDescent="0.45">
      <c r="A41" s="22">
        <v>24</v>
      </c>
      <c r="B41" s="3" t="s">
        <v>209</v>
      </c>
      <c r="C41" s="4" t="s">
        <v>210</v>
      </c>
      <c r="D41" s="5" t="s">
        <v>211</v>
      </c>
      <c r="E41" s="5" t="s">
        <v>212</v>
      </c>
      <c r="F41" s="5" t="s">
        <v>103</v>
      </c>
      <c r="G41" s="5" t="s">
        <v>103</v>
      </c>
      <c r="H41" s="5" t="s">
        <v>103</v>
      </c>
      <c r="I41" s="5" t="s">
        <v>213</v>
      </c>
      <c r="J41" s="6">
        <v>1</v>
      </c>
      <c r="K41" s="6">
        <v>1</v>
      </c>
      <c r="L41" s="7">
        <v>28</v>
      </c>
      <c r="M41" s="8">
        <f>L41*K41</f>
        <v>28</v>
      </c>
      <c r="N41" s="5" t="s">
        <v>174</v>
      </c>
      <c r="O41" s="5" t="s">
        <v>214</v>
      </c>
    </row>
    <row r="42" spans="1:15" ht="48" customHeight="1" x14ac:dyDescent="0.45">
      <c r="A42" s="22">
        <v>25</v>
      </c>
      <c r="B42" s="10" t="s">
        <v>215</v>
      </c>
      <c r="C42" s="11" t="s">
        <v>216</v>
      </c>
      <c r="D42" s="12" t="s">
        <v>170</v>
      </c>
      <c r="E42" s="12" t="s">
        <v>217</v>
      </c>
      <c r="F42" s="12" t="s">
        <v>103</v>
      </c>
      <c r="G42" s="12" t="s">
        <v>103</v>
      </c>
      <c r="H42" s="12" t="s">
        <v>103</v>
      </c>
      <c r="I42" s="12" t="s">
        <v>218</v>
      </c>
      <c r="J42" s="13">
        <v>1</v>
      </c>
      <c r="K42" s="13">
        <v>3</v>
      </c>
      <c r="L42" s="14">
        <v>0.5</v>
      </c>
      <c r="M42" s="15">
        <f>L42*K42</f>
        <v>1.5</v>
      </c>
      <c r="N42" s="12" t="s">
        <v>174</v>
      </c>
      <c r="O42" s="12" t="s">
        <v>219</v>
      </c>
    </row>
    <row r="43" spans="1:15" ht="48" customHeight="1" x14ac:dyDescent="0.45">
      <c r="A43" s="22">
        <v>26</v>
      </c>
      <c r="B43" s="3" t="s">
        <v>220</v>
      </c>
      <c r="C43" s="4" t="s">
        <v>221</v>
      </c>
      <c r="D43" s="5" t="s">
        <v>222</v>
      </c>
      <c r="E43" s="5" t="s">
        <v>223</v>
      </c>
      <c r="F43" s="5" t="s">
        <v>103</v>
      </c>
      <c r="G43" s="5" t="s">
        <v>103</v>
      </c>
      <c r="H43" s="5" t="s">
        <v>103</v>
      </c>
      <c r="I43" s="5" t="s">
        <v>224</v>
      </c>
      <c r="J43" s="6">
        <v>2</v>
      </c>
      <c r="K43" s="6">
        <v>6</v>
      </c>
      <c r="L43" s="7">
        <v>3</v>
      </c>
      <c r="M43" s="8">
        <f>L43*K43</f>
        <v>18</v>
      </c>
      <c r="N43" s="5" t="s">
        <v>158</v>
      </c>
      <c r="O43" s="5" t="s">
        <v>225</v>
      </c>
    </row>
    <row r="44" spans="1:15" ht="48" customHeight="1" x14ac:dyDescent="0.45">
      <c r="A44" s="22">
        <v>27</v>
      </c>
      <c r="B44" s="10" t="s">
        <v>226</v>
      </c>
      <c r="C44" s="11" t="s">
        <v>227</v>
      </c>
      <c r="D44" s="12" t="s">
        <v>228</v>
      </c>
      <c r="E44" s="12" t="s">
        <v>229</v>
      </c>
      <c r="F44" s="12" t="s">
        <v>103</v>
      </c>
      <c r="G44" s="12" t="s">
        <v>103</v>
      </c>
      <c r="H44" s="12" t="s">
        <v>103</v>
      </c>
      <c r="I44" s="12" t="s">
        <v>230</v>
      </c>
      <c r="J44" s="13">
        <v>1</v>
      </c>
      <c r="K44" s="13">
        <v>3</v>
      </c>
      <c r="L44" s="14">
        <v>1.5</v>
      </c>
      <c r="M44" s="15">
        <f>L44*K44</f>
        <v>4.5</v>
      </c>
      <c r="N44" s="12" t="s">
        <v>158</v>
      </c>
      <c r="O44" s="12" t="s">
        <v>231</v>
      </c>
    </row>
    <row r="45" spans="1:15" ht="18" customHeight="1" x14ac:dyDescent="0.45">
      <c r="A45" s="61" t="s">
        <v>232</v>
      </c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</row>
    <row r="46" spans="1:15" ht="48" customHeight="1" x14ac:dyDescent="0.45">
      <c r="A46" s="23">
        <v>28</v>
      </c>
      <c r="B46" s="10" t="s">
        <v>233</v>
      </c>
      <c r="C46" s="11" t="s">
        <v>234</v>
      </c>
      <c r="D46" s="12" t="s">
        <v>235</v>
      </c>
      <c r="E46" s="12" t="s">
        <v>236</v>
      </c>
      <c r="F46" s="12" t="s">
        <v>103</v>
      </c>
      <c r="G46" s="12" t="s">
        <v>103</v>
      </c>
      <c r="H46" s="12" t="s">
        <v>237</v>
      </c>
      <c r="I46" s="12" t="s">
        <v>238</v>
      </c>
      <c r="J46" s="13">
        <v>1</v>
      </c>
      <c r="K46" s="13">
        <v>3</v>
      </c>
      <c r="L46" s="14">
        <v>3.5</v>
      </c>
      <c r="M46" s="15">
        <f>L46*K46</f>
        <v>10.5</v>
      </c>
      <c r="N46" s="12" t="s">
        <v>26</v>
      </c>
      <c r="O46" s="12" t="s">
        <v>239</v>
      </c>
    </row>
    <row r="47" spans="1:15" ht="48" customHeight="1" x14ac:dyDescent="0.45">
      <c r="A47" s="23">
        <v>29</v>
      </c>
      <c r="B47" s="3" t="s">
        <v>240</v>
      </c>
      <c r="C47" s="4" t="s">
        <v>241</v>
      </c>
      <c r="D47" s="5" t="s">
        <v>242</v>
      </c>
      <c r="E47" s="5" t="s">
        <v>243</v>
      </c>
      <c r="F47" s="5" t="s">
        <v>103</v>
      </c>
      <c r="G47" s="5" t="s">
        <v>103</v>
      </c>
      <c r="H47" s="5" t="s">
        <v>244</v>
      </c>
      <c r="I47" s="5" t="s">
        <v>245</v>
      </c>
      <c r="J47" s="6">
        <v>1</v>
      </c>
      <c r="K47" s="6">
        <v>3</v>
      </c>
      <c r="L47" s="7">
        <v>5</v>
      </c>
      <c r="M47" s="8">
        <f>L47*K47</f>
        <v>15</v>
      </c>
      <c r="N47" s="5" t="s">
        <v>246</v>
      </c>
      <c r="O47" s="5" t="s">
        <v>247</v>
      </c>
    </row>
    <row r="48" spans="1:15" ht="48" customHeight="1" x14ac:dyDescent="0.45">
      <c r="A48" s="23">
        <v>30</v>
      </c>
      <c r="B48" s="10" t="s">
        <v>248</v>
      </c>
      <c r="C48" s="11" t="s">
        <v>249</v>
      </c>
      <c r="D48" s="12" t="s">
        <v>242</v>
      </c>
      <c r="E48" s="12" t="s">
        <v>250</v>
      </c>
      <c r="F48" s="12" t="s">
        <v>251</v>
      </c>
      <c r="G48" s="12" t="s">
        <v>103</v>
      </c>
      <c r="H48" s="12" t="s">
        <v>103</v>
      </c>
      <c r="I48" s="12" t="s">
        <v>252</v>
      </c>
      <c r="J48" s="13">
        <v>2</v>
      </c>
      <c r="K48" s="13">
        <v>2</v>
      </c>
      <c r="L48" s="14">
        <v>15</v>
      </c>
      <c r="M48" s="15">
        <f>L48*K48</f>
        <v>30</v>
      </c>
      <c r="N48" s="12" t="s">
        <v>242</v>
      </c>
      <c r="O48" s="12" t="s">
        <v>253</v>
      </c>
    </row>
    <row r="49" spans="1:15" ht="48" customHeight="1" x14ac:dyDescent="0.45">
      <c r="A49" s="23">
        <v>31</v>
      </c>
      <c r="B49" s="3" t="s">
        <v>254</v>
      </c>
      <c r="C49" s="4" t="s">
        <v>255</v>
      </c>
      <c r="D49" s="5" t="s">
        <v>256</v>
      </c>
      <c r="E49" s="5" t="s">
        <v>257</v>
      </c>
      <c r="F49" s="5" t="s">
        <v>103</v>
      </c>
      <c r="G49" s="5" t="s">
        <v>103</v>
      </c>
      <c r="H49" s="5" t="s">
        <v>103</v>
      </c>
      <c r="I49" s="5" t="s">
        <v>258</v>
      </c>
      <c r="J49" s="6">
        <v>1</v>
      </c>
      <c r="K49" s="6">
        <v>3</v>
      </c>
      <c r="L49" s="7">
        <v>35</v>
      </c>
      <c r="M49" s="8">
        <f>L49*K49</f>
        <v>105</v>
      </c>
      <c r="N49" s="5" t="s">
        <v>259</v>
      </c>
      <c r="O49" s="5" t="s">
        <v>260</v>
      </c>
    </row>
    <row r="50" spans="1:15" ht="48" customHeight="1" x14ac:dyDescent="0.45">
      <c r="A50" s="23">
        <v>32</v>
      </c>
      <c r="B50" s="10" t="s">
        <v>261</v>
      </c>
      <c r="C50" s="11" t="s">
        <v>262</v>
      </c>
      <c r="D50" s="12" t="s">
        <v>263</v>
      </c>
      <c r="E50" s="12" t="s">
        <v>264</v>
      </c>
      <c r="F50" s="12" t="s">
        <v>103</v>
      </c>
      <c r="G50" s="12" t="s">
        <v>103</v>
      </c>
      <c r="H50" s="12" t="s">
        <v>103</v>
      </c>
      <c r="I50" s="12" t="s">
        <v>265</v>
      </c>
      <c r="J50" s="13">
        <v>5</v>
      </c>
      <c r="K50" s="13">
        <v>5</v>
      </c>
      <c r="L50" s="14">
        <v>18</v>
      </c>
      <c r="M50" s="15">
        <f>L50*K50</f>
        <v>90</v>
      </c>
      <c r="N50" s="12" t="s">
        <v>266</v>
      </c>
      <c r="O50" s="12" t="s">
        <v>267</v>
      </c>
    </row>
    <row r="51" spans="1:15" ht="18" customHeight="1" x14ac:dyDescent="0.45">
      <c r="A51" s="62" t="s">
        <v>268</v>
      </c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</row>
    <row r="52" spans="1:15" ht="48" customHeight="1" x14ac:dyDescent="0.45">
      <c r="A52" s="24">
        <v>33</v>
      </c>
      <c r="B52" s="10" t="s">
        <v>269</v>
      </c>
      <c r="C52" s="11" t="s">
        <v>270</v>
      </c>
      <c r="D52" s="12" t="s">
        <v>271</v>
      </c>
      <c r="E52" s="12" t="s">
        <v>272</v>
      </c>
      <c r="F52" s="12" t="s">
        <v>273</v>
      </c>
      <c r="G52" s="12" t="s">
        <v>103</v>
      </c>
      <c r="H52" s="12" t="s">
        <v>103</v>
      </c>
      <c r="I52" s="12" t="s">
        <v>274</v>
      </c>
      <c r="J52" s="13">
        <v>1</v>
      </c>
      <c r="K52" s="13">
        <v>3</v>
      </c>
      <c r="L52" s="14">
        <v>0.5</v>
      </c>
      <c r="M52" s="15">
        <f>L52*K52</f>
        <v>1.5</v>
      </c>
      <c r="N52" s="12" t="s">
        <v>26</v>
      </c>
      <c r="O52" s="12" t="s">
        <v>275</v>
      </c>
    </row>
    <row r="53" spans="1:15" ht="48" customHeight="1" x14ac:dyDescent="0.45">
      <c r="A53" s="24">
        <v>34</v>
      </c>
      <c r="B53" s="3" t="s">
        <v>276</v>
      </c>
      <c r="C53" s="4" t="s">
        <v>277</v>
      </c>
      <c r="D53" s="5" t="s">
        <v>278</v>
      </c>
      <c r="E53" s="5" t="s">
        <v>279</v>
      </c>
      <c r="F53" s="5" t="s">
        <v>280</v>
      </c>
      <c r="G53" s="5" t="s">
        <v>103</v>
      </c>
      <c r="H53" s="5" t="s">
        <v>103</v>
      </c>
      <c r="I53" s="5" t="s">
        <v>125</v>
      </c>
      <c r="J53" s="6">
        <v>1</v>
      </c>
      <c r="K53" s="6">
        <v>3</v>
      </c>
      <c r="L53" s="7">
        <v>0.5</v>
      </c>
      <c r="M53" s="8">
        <f>L53*K53</f>
        <v>1.5</v>
      </c>
      <c r="N53" s="5" t="s">
        <v>26</v>
      </c>
      <c r="O53" s="5" t="s">
        <v>281</v>
      </c>
    </row>
    <row r="54" spans="1:15" ht="18" customHeight="1" x14ac:dyDescent="0.45">
      <c r="A54" s="63" t="s">
        <v>282</v>
      </c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 spans="1:15" ht="48" customHeight="1" x14ac:dyDescent="0.45">
      <c r="A55" s="21">
        <v>35</v>
      </c>
      <c r="B55" s="3" t="s">
        <v>283</v>
      </c>
      <c r="C55" s="4" t="s">
        <v>284</v>
      </c>
      <c r="D55" s="5" t="s">
        <v>285</v>
      </c>
      <c r="E55" s="5" t="s">
        <v>286</v>
      </c>
      <c r="F55" s="5" t="s">
        <v>287</v>
      </c>
      <c r="G55" s="5" t="s">
        <v>103</v>
      </c>
      <c r="H55" s="5" t="s">
        <v>165</v>
      </c>
      <c r="I55" s="5" t="s">
        <v>288</v>
      </c>
      <c r="J55" s="6">
        <v>1</v>
      </c>
      <c r="K55" s="6">
        <v>1</v>
      </c>
      <c r="L55" s="7">
        <v>0</v>
      </c>
      <c r="M55" s="8">
        <f>L55*K55</f>
        <v>0</v>
      </c>
      <c r="N55" s="5" t="s">
        <v>289</v>
      </c>
      <c r="O55" s="5" t="s">
        <v>290</v>
      </c>
    </row>
    <row r="56" spans="1:15" ht="18" customHeight="1" x14ac:dyDescent="0.45">
      <c r="A56" s="63" t="s">
        <v>291</v>
      </c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 spans="1:15" ht="48" customHeight="1" x14ac:dyDescent="0.45">
      <c r="A57" s="21">
        <v>36</v>
      </c>
      <c r="B57" s="3" t="s">
        <v>292</v>
      </c>
      <c r="C57" s="4" t="s">
        <v>293</v>
      </c>
      <c r="D57" s="5" t="s">
        <v>294</v>
      </c>
      <c r="E57" s="5" t="s">
        <v>295</v>
      </c>
      <c r="F57" s="5" t="s">
        <v>103</v>
      </c>
      <c r="G57" s="5" t="s">
        <v>103</v>
      </c>
      <c r="H57" s="5" t="s">
        <v>103</v>
      </c>
      <c r="I57" s="5" t="s">
        <v>296</v>
      </c>
      <c r="J57" s="6">
        <v>50</v>
      </c>
      <c r="K57" s="6">
        <v>150</v>
      </c>
      <c r="L57" s="7">
        <v>0.02</v>
      </c>
      <c r="M57" s="8">
        <f>L57*K57</f>
        <v>3</v>
      </c>
      <c r="N57" s="5" t="s">
        <v>26</v>
      </c>
      <c r="O57" s="5" t="s">
        <v>297</v>
      </c>
    </row>
    <row r="58" spans="1:15" ht="48" customHeight="1" x14ac:dyDescent="0.45">
      <c r="A58" s="21">
        <v>37</v>
      </c>
      <c r="B58" s="10" t="s">
        <v>298</v>
      </c>
      <c r="C58" s="11" t="s">
        <v>299</v>
      </c>
      <c r="D58" s="12" t="s">
        <v>294</v>
      </c>
      <c r="E58" s="12" t="s">
        <v>300</v>
      </c>
      <c r="F58" s="12" t="s">
        <v>103</v>
      </c>
      <c r="G58" s="12" t="s">
        <v>103</v>
      </c>
      <c r="H58" s="12" t="s">
        <v>103</v>
      </c>
      <c r="I58" s="12" t="s">
        <v>301</v>
      </c>
      <c r="J58" s="13">
        <v>10</v>
      </c>
      <c r="K58" s="13">
        <v>30</v>
      </c>
      <c r="L58" s="14">
        <v>0.1</v>
      </c>
      <c r="M58" s="15">
        <f>L58*K58</f>
        <v>3</v>
      </c>
      <c r="N58" s="12" t="s">
        <v>26</v>
      </c>
      <c r="O58" s="12" t="s">
        <v>302</v>
      </c>
    </row>
    <row r="59" spans="1:15" ht="48" customHeight="1" x14ac:dyDescent="0.45">
      <c r="A59" s="21">
        <v>38</v>
      </c>
      <c r="B59" s="3" t="s">
        <v>303</v>
      </c>
      <c r="C59" s="4" t="s">
        <v>304</v>
      </c>
      <c r="D59" s="5" t="s">
        <v>305</v>
      </c>
      <c r="E59" s="5" t="s">
        <v>306</v>
      </c>
      <c r="F59" s="5" t="s">
        <v>103</v>
      </c>
      <c r="G59" s="5" t="s">
        <v>103</v>
      </c>
      <c r="H59" s="5" t="s">
        <v>103</v>
      </c>
      <c r="I59" s="5" t="s">
        <v>191</v>
      </c>
      <c r="J59" s="6">
        <v>4</v>
      </c>
      <c r="K59" s="6">
        <v>12</v>
      </c>
      <c r="L59" s="7">
        <v>0.03</v>
      </c>
      <c r="M59" s="8">
        <f>L59*K59</f>
        <v>0.36</v>
      </c>
      <c r="N59" s="5" t="s">
        <v>26</v>
      </c>
      <c r="O59" s="5" t="s">
        <v>307</v>
      </c>
    </row>
    <row r="60" spans="1:15" ht="48" customHeight="1" x14ac:dyDescent="0.45">
      <c r="A60" s="21">
        <v>39</v>
      </c>
      <c r="B60" s="10" t="s">
        <v>308</v>
      </c>
      <c r="C60" s="11" t="s">
        <v>309</v>
      </c>
      <c r="D60" s="12" t="s">
        <v>294</v>
      </c>
      <c r="E60" s="12" t="s">
        <v>310</v>
      </c>
      <c r="F60" s="12" t="s">
        <v>103</v>
      </c>
      <c r="G60" s="12" t="s">
        <v>103</v>
      </c>
      <c r="H60" s="12" t="s">
        <v>103</v>
      </c>
      <c r="I60" s="12" t="s">
        <v>311</v>
      </c>
      <c r="J60" s="13">
        <v>1</v>
      </c>
      <c r="K60" s="13">
        <v>3</v>
      </c>
      <c r="L60" s="14">
        <v>0.6</v>
      </c>
      <c r="M60" s="15">
        <f>L60*K60</f>
        <v>1.7999999999999998</v>
      </c>
      <c r="N60" s="12" t="s">
        <v>26</v>
      </c>
      <c r="O60" s="12" t="s">
        <v>312</v>
      </c>
    </row>
    <row r="61" spans="1:15" ht="48" customHeight="1" thickBot="1" x14ac:dyDescent="0.5">
      <c r="A61" s="21">
        <v>40</v>
      </c>
      <c r="B61" s="3" t="s">
        <v>313</v>
      </c>
      <c r="C61" s="4" t="s">
        <v>314</v>
      </c>
      <c r="D61" s="5" t="s">
        <v>315</v>
      </c>
      <c r="E61" s="5" t="s">
        <v>316</v>
      </c>
      <c r="F61" s="5" t="s">
        <v>317</v>
      </c>
      <c r="G61" s="5" t="s">
        <v>103</v>
      </c>
      <c r="H61" s="5" t="s">
        <v>103</v>
      </c>
      <c r="I61" s="5" t="s">
        <v>191</v>
      </c>
      <c r="J61" s="6">
        <v>1</v>
      </c>
      <c r="K61" s="6">
        <v>3</v>
      </c>
      <c r="L61" s="7">
        <v>0.3</v>
      </c>
      <c r="M61" s="8">
        <f>L61*K61</f>
        <v>0.89999999999999991</v>
      </c>
      <c r="N61" s="5" t="s">
        <v>26</v>
      </c>
      <c r="O61" s="5" t="s">
        <v>318</v>
      </c>
    </row>
    <row r="62" spans="1:15" ht="21.75" customHeight="1" thickBot="1" x14ac:dyDescent="0.5">
      <c r="A62" s="64" t="s">
        <v>319</v>
      </c>
      <c r="B62" s="64"/>
      <c r="C62" s="64"/>
      <c r="D62" s="64"/>
      <c r="E62" s="64"/>
      <c r="F62" s="64"/>
      <c r="G62" s="64"/>
      <c r="H62" s="64"/>
      <c r="I62" s="64"/>
      <c r="J62" s="64"/>
      <c r="K62" s="25">
        <f>SUM(K6:K61)</f>
        <v>315</v>
      </c>
      <c r="L62" s="26">
        <f>SUM(L6:L61)</f>
        <v>186.25</v>
      </c>
      <c r="M62" s="26">
        <f>SUM(M6:M61)</f>
        <v>543.46</v>
      </c>
      <c r="N62" s="27"/>
      <c r="O62" s="27"/>
    </row>
  </sheetData>
  <mergeCells count="20">
    <mergeCell ref="A1:O1"/>
    <mergeCell ref="A2:O2"/>
    <mergeCell ref="A3:O3"/>
    <mergeCell ref="A6:O6"/>
    <mergeCell ref="A8:O8"/>
    <mergeCell ref="A12:O12"/>
    <mergeCell ref="A14:O14"/>
    <mergeCell ref="A16:O16"/>
    <mergeCell ref="A18:O18"/>
    <mergeCell ref="A26:O26"/>
    <mergeCell ref="A28:O28"/>
    <mergeCell ref="A31:O31"/>
    <mergeCell ref="A34:O34"/>
    <mergeCell ref="A37:O37"/>
    <mergeCell ref="A40:O40"/>
    <mergeCell ref="A45:O45"/>
    <mergeCell ref="A51:O51"/>
    <mergeCell ref="A54:O54"/>
    <mergeCell ref="A56:O56"/>
    <mergeCell ref="A62:J6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zoomScaleNormal="100" workbookViewId="0"/>
  </sheetViews>
  <sheetFormatPr defaultColWidth="8.6640625" defaultRowHeight="14.25" x14ac:dyDescent="0.45"/>
  <cols>
    <col min="1" max="1" width="20" customWidth="1"/>
    <col min="2" max="2" width="28" customWidth="1"/>
    <col min="3" max="3" width="16" customWidth="1"/>
    <col min="4" max="4" width="12" customWidth="1"/>
    <col min="5" max="5" width="14" customWidth="1"/>
    <col min="6" max="6" width="16" customWidth="1"/>
    <col min="7" max="7" width="44" customWidth="1"/>
    <col min="8" max="8" width="14" customWidth="1"/>
  </cols>
  <sheetData>
    <row r="1" spans="1:8" ht="25.5" customHeight="1" x14ac:dyDescent="0.45">
      <c r="A1" s="76" t="s">
        <v>320</v>
      </c>
      <c r="B1" s="76"/>
      <c r="C1" s="76"/>
      <c r="D1" s="76"/>
      <c r="E1" s="76"/>
      <c r="F1" s="76"/>
      <c r="G1" s="76"/>
      <c r="H1" s="76"/>
    </row>
    <row r="2" spans="1:8" ht="13.5" customHeight="1" x14ac:dyDescent="0.45">
      <c r="A2" s="77" t="s">
        <v>321</v>
      </c>
      <c r="B2" s="77"/>
      <c r="C2" s="77"/>
      <c r="D2" s="77"/>
      <c r="E2" s="77"/>
      <c r="F2" s="77"/>
      <c r="G2" s="77"/>
      <c r="H2" s="77"/>
    </row>
    <row r="3" spans="1:8" x14ac:dyDescent="0.45">
      <c r="A3" s="28" t="s">
        <v>322</v>
      </c>
      <c r="B3" s="28" t="s">
        <v>323</v>
      </c>
      <c r="C3" s="28" t="s">
        <v>324</v>
      </c>
      <c r="D3" s="28" t="s">
        <v>325</v>
      </c>
      <c r="E3" s="28" t="s">
        <v>326</v>
      </c>
      <c r="F3" s="28" t="s">
        <v>327</v>
      </c>
      <c r="G3" s="28" t="s">
        <v>328</v>
      </c>
      <c r="H3" s="28" t="s">
        <v>329</v>
      </c>
    </row>
    <row r="4" spans="1:8" ht="27.75" customHeight="1" x14ac:dyDescent="0.45">
      <c r="A4" s="29" t="s">
        <v>330</v>
      </c>
      <c r="B4" s="30" t="s">
        <v>29</v>
      </c>
      <c r="C4" s="30" t="s">
        <v>34</v>
      </c>
      <c r="D4" s="30" t="s">
        <v>331</v>
      </c>
      <c r="E4" s="30" t="s">
        <v>332</v>
      </c>
      <c r="F4" s="30" t="s">
        <v>333</v>
      </c>
      <c r="G4" s="30" t="s">
        <v>334</v>
      </c>
      <c r="H4" s="30" t="s">
        <v>335</v>
      </c>
    </row>
    <row r="5" spans="1:8" ht="27.75" customHeight="1" x14ac:dyDescent="0.45">
      <c r="A5" s="31" t="s">
        <v>336</v>
      </c>
      <c r="B5" s="32" t="s">
        <v>46</v>
      </c>
      <c r="C5" s="32" t="s">
        <v>50</v>
      </c>
      <c r="D5" s="32" t="s">
        <v>165</v>
      </c>
      <c r="E5" s="32" t="s">
        <v>332</v>
      </c>
      <c r="F5" s="32" t="s">
        <v>337</v>
      </c>
      <c r="G5" s="32" t="s">
        <v>338</v>
      </c>
      <c r="H5" s="32" t="s">
        <v>335</v>
      </c>
    </row>
    <row r="6" spans="1:8" ht="27.75" customHeight="1" x14ac:dyDescent="0.45">
      <c r="A6" s="29" t="s">
        <v>336</v>
      </c>
      <c r="B6" s="30" t="s">
        <v>55</v>
      </c>
      <c r="C6" s="30" t="s">
        <v>59</v>
      </c>
      <c r="D6" s="30" t="s">
        <v>331</v>
      </c>
      <c r="E6" s="30" t="s">
        <v>332</v>
      </c>
      <c r="F6" s="30" t="s">
        <v>339</v>
      </c>
      <c r="G6" s="30" t="s">
        <v>340</v>
      </c>
      <c r="H6" s="30" t="s">
        <v>335</v>
      </c>
    </row>
    <row r="7" spans="1:8" ht="27.75" customHeight="1" x14ac:dyDescent="0.45">
      <c r="A7" s="31" t="s">
        <v>336</v>
      </c>
      <c r="B7" s="32" t="s">
        <v>64</v>
      </c>
      <c r="C7" s="32" t="s">
        <v>68</v>
      </c>
      <c r="D7" s="32" t="s">
        <v>165</v>
      </c>
      <c r="E7" s="32" t="s">
        <v>332</v>
      </c>
      <c r="F7" s="32" t="s">
        <v>341</v>
      </c>
      <c r="G7" s="32" t="s">
        <v>342</v>
      </c>
      <c r="H7" s="32" t="s">
        <v>335</v>
      </c>
    </row>
    <row r="8" spans="1:8" ht="27.75" customHeight="1" x14ac:dyDescent="0.45">
      <c r="A8" s="29" t="s">
        <v>336</v>
      </c>
      <c r="B8" s="30" t="s">
        <v>84</v>
      </c>
      <c r="C8" s="30" t="s">
        <v>88</v>
      </c>
      <c r="D8" s="30" t="s">
        <v>343</v>
      </c>
      <c r="E8" s="30" t="s">
        <v>332</v>
      </c>
      <c r="F8" s="30" t="s">
        <v>333</v>
      </c>
      <c r="G8" s="30" t="s">
        <v>344</v>
      </c>
      <c r="H8" s="30" t="s">
        <v>335</v>
      </c>
    </row>
    <row r="9" spans="1:8" ht="27.75" customHeight="1" x14ac:dyDescent="0.45">
      <c r="A9" s="31" t="s">
        <v>336</v>
      </c>
      <c r="B9" s="32" t="s">
        <v>92</v>
      </c>
      <c r="C9" s="32" t="s">
        <v>95</v>
      </c>
      <c r="D9" s="32" t="s">
        <v>343</v>
      </c>
      <c r="E9" s="32" t="s">
        <v>332</v>
      </c>
      <c r="F9" s="32" t="s">
        <v>345</v>
      </c>
      <c r="G9" s="32" t="s">
        <v>346</v>
      </c>
      <c r="H9" s="32" t="s">
        <v>335</v>
      </c>
    </row>
    <row r="10" spans="1:8" ht="27.75" customHeight="1" x14ac:dyDescent="0.45">
      <c r="A10" s="29" t="s">
        <v>336</v>
      </c>
      <c r="B10" s="30" t="s">
        <v>347</v>
      </c>
      <c r="C10" s="30" t="s">
        <v>147</v>
      </c>
      <c r="D10" s="30" t="s">
        <v>165</v>
      </c>
      <c r="E10" s="30" t="s">
        <v>332</v>
      </c>
      <c r="F10" s="30" t="s">
        <v>348</v>
      </c>
      <c r="G10" s="30" t="s">
        <v>349</v>
      </c>
      <c r="H10" s="30" t="s">
        <v>335</v>
      </c>
    </row>
    <row r="11" spans="1:8" ht="27.75" customHeight="1" x14ac:dyDescent="0.45">
      <c r="A11" s="31" t="s">
        <v>336</v>
      </c>
      <c r="B11" s="32" t="s">
        <v>350</v>
      </c>
      <c r="C11" s="32" t="s">
        <v>181</v>
      </c>
      <c r="D11" s="32" t="s">
        <v>165</v>
      </c>
      <c r="E11" s="32" t="s">
        <v>332</v>
      </c>
      <c r="F11" s="32" t="s">
        <v>351</v>
      </c>
      <c r="G11" s="32" t="s">
        <v>352</v>
      </c>
      <c r="H11" s="32" t="s">
        <v>335</v>
      </c>
    </row>
    <row r="12" spans="1:8" ht="27.75" customHeight="1" x14ac:dyDescent="0.45">
      <c r="A12" s="29" t="s">
        <v>353</v>
      </c>
      <c r="B12" s="30" t="s">
        <v>354</v>
      </c>
      <c r="C12" s="30" t="s">
        <v>355</v>
      </c>
      <c r="D12" s="30" t="s">
        <v>165</v>
      </c>
      <c r="E12" s="30" t="s">
        <v>332</v>
      </c>
      <c r="F12" s="30" t="s">
        <v>333</v>
      </c>
      <c r="G12" s="30" t="s">
        <v>356</v>
      </c>
      <c r="H12" s="30" t="s">
        <v>335</v>
      </c>
    </row>
    <row r="13" spans="1:8" ht="27.75" customHeight="1" x14ac:dyDescent="0.45">
      <c r="A13" s="31" t="s">
        <v>357</v>
      </c>
      <c r="B13" s="32" t="s">
        <v>358</v>
      </c>
      <c r="C13" s="32" t="s">
        <v>42</v>
      </c>
      <c r="D13" s="32" t="s">
        <v>165</v>
      </c>
      <c r="E13" s="32" t="s">
        <v>359</v>
      </c>
      <c r="F13" s="32" t="s">
        <v>360</v>
      </c>
      <c r="G13" s="32" t="s">
        <v>361</v>
      </c>
      <c r="H13" s="32" t="s">
        <v>335</v>
      </c>
    </row>
    <row r="14" spans="1:8" ht="27.75" customHeight="1" x14ac:dyDescent="0.45">
      <c r="A14" s="29" t="s">
        <v>362</v>
      </c>
      <c r="B14" s="30" t="s">
        <v>38</v>
      </c>
      <c r="C14" s="30" t="s">
        <v>42</v>
      </c>
      <c r="D14" s="30" t="s">
        <v>363</v>
      </c>
      <c r="E14" s="30" t="s">
        <v>359</v>
      </c>
      <c r="F14" s="30" t="s">
        <v>339</v>
      </c>
      <c r="G14" s="30" t="s">
        <v>364</v>
      </c>
      <c r="H14" s="30" t="s">
        <v>335</v>
      </c>
    </row>
    <row r="15" spans="1:8" ht="27.75" customHeight="1" x14ac:dyDescent="0.45">
      <c r="A15" s="31" t="s">
        <v>164</v>
      </c>
      <c r="B15" s="32" t="s">
        <v>365</v>
      </c>
      <c r="C15" s="32" t="s">
        <v>366</v>
      </c>
      <c r="D15" s="32" t="s">
        <v>165</v>
      </c>
      <c r="E15" s="32" t="s">
        <v>367</v>
      </c>
      <c r="F15" s="32" t="s">
        <v>351</v>
      </c>
      <c r="G15" s="32" t="s">
        <v>368</v>
      </c>
      <c r="H15" s="32" t="s">
        <v>335</v>
      </c>
    </row>
    <row r="16" spans="1:8" ht="27.75" customHeight="1" x14ac:dyDescent="0.45">
      <c r="A16" s="29" t="s">
        <v>369</v>
      </c>
      <c r="B16" s="30" t="s">
        <v>370</v>
      </c>
      <c r="C16" s="30" t="s">
        <v>103</v>
      </c>
      <c r="D16" s="30" t="s">
        <v>371</v>
      </c>
      <c r="E16" s="30" t="s">
        <v>372</v>
      </c>
      <c r="F16" s="30" t="s">
        <v>351</v>
      </c>
      <c r="G16" s="30" t="s">
        <v>373</v>
      </c>
      <c r="H16" s="30" t="s">
        <v>335</v>
      </c>
    </row>
    <row r="17" spans="1:8" ht="27.75" customHeight="1" x14ac:dyDescent="0.45">
      <c r="A17" s="31" t="s">
        <v>374</v>
      </c>
      <c r="B17" s="32" t="s">
        <v>375</v>
      </c>
      <c r="C17" s="32" t="s">
        <v>376</v>
      </c>
      <c r="D17" s="32" t="s">
        <v>377</v>
      </c>
      <c r="E17" s="32" t="s">
        <v>378</v>
      </c>
      <c r="F17" s="32" t="s">
        <v>351</v>
      </c>
      <c r="G17" s="32" t="s">
        <v>379</v>
      </c>
      <c r="H17" s="32" t="s">
        <v>335</v>
      </c>
    </row>
    <row r="18" spans="1:8" ht="27.75" customHeight="1" x14ac:dyDescent="0.45">
      <c r="A18" s="33" t="s">
        <v>380</v>
      </c>
      <c r="B18" s="34" t="s">
        <v>381</v>
      </c>
      <c r="C18" s="34" t="s">
        <v>382</v>
      </c>
      <c r="D18" s="34" t="s">
        <v>382</v>
      </c>
      <c r="E18" s="34" t="s">
        <v>382</v>
      </c>
      <c r="F18" s="34" t="s">
        <v>382</v>
      </c>
      <c r="G18" s="34" t="s">
        <v>383</v>
      </c>
      <c r="H18" s="34" t="s">
        <v>103</v>
      </c>
    </row>
    <row r="19" spans="1:8" ht="27.75" customHeight="1" x14ac:dyDescent="0.45">
      <c r="A19" s="31" t="s">
        <v>384</v>
      </c>
      <c r="B19" s="32" t="s">
        <v>385</v>
      </c>
      <c r="C19" s="32" t="s">
        <v>103</v>
      </c>
      <c r="D19" s="32" t="s">
        <v>165</v>
      </c>
      <c r="E19" s="32" t="s">
        <v>386</v>
      </c>
      <c r="F19" s="32" t="s">
        <v>387</v>
      </c>
      <c r="G19" s="32" t="s">
        <v>388</v>
      </c>
      <c r="H19" s="32" t="s">
        <v>335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showGridLines="0" zoomScaleNormal="100" workbookViewId="0"/>
  </sheetViews>
  <sheetFormatPr defaultColWidth="8.6640625" defaultRowHeight="14.25" x14ac:dyDescent="0.45"/>
  <cols>
    <col min="1" max="1" width="24" customWidth="1"/>
    <col min="2" max="2" width="18" customWidth="1"/>
    <col min="3" max="3" width="10" customWidth="1"/>
    <col min="4" max="4" width="14" customWidth="1"/>
    <col min="5" max="5" width="12" customWidth="1"/>
    <col min="6" max="7" width="14" customWidth="1"/>
    <col min="8" max="8" width="40" customWidth="1"/>
  </cols>
  <sheetData>
    <row r="1" spans="1:8" ht="25.5" customHeight="1" x14ac:dyDescent="0.5">
      <c r="A1" s="78" t="s">
        <v>389</v>
      </c>
      <c r="B1" s="78"/>
      <c r="C1" s="78"/>
      <c r="D1" s="78"/>
      <c r="E1" s="78"/>
      <c r="F1" s="78"/>
      <c r="G1" s="78"/>
      <c r="H1" s="78"/>
    </row>
    <row r="2" spans="1:8" x14ac:dyDescent="0.45">
      <c r="A2" s="35" t="s">
        <v>3</v>
      </c>
      <c r="B2" s="35" t="s">
        <v>390</v>
      </c>
      <c r="C2" s="35" t="s">
        <v>9</v>
      </c>
      <c r="D2" s="35" t="s">
        <v>391</v>
      </c>
      <c r="E2" s="35" t="s">
        <v>392</v>
      </c>
      <c r="F2" s="35" t="s">
        <v>393</v>
      </c>
      <c r="G2" s="35" t="s">
        <v>394</v>
      </c>
      <c r="H2" s="35" t="s">
        <v>328</v>
      </c>
    </row>
    <row r="3" spans="1:8" ht="21.75" customHeight="1" x14ac:dyDescent="0.45">
      <c r="A3" s="36" t="s">
        <v>395</v>
      </c>
      <c r="B3" s="36" t="s">
        <v>396</v>
      </c>
      <c r="C3" s="37" t="s">
        <v>165</v>
      </c>
      <c r="D3" s="37">
        <v>6</v>
      </c>
      <c r="E3" s="37">
        <v>100</v>
      </c>
      <c r="F3" s="37">
        <v>6</v>
      </c>
      <c r="G3" s="36" t="s">
        <v>397</v>
      </c>
      <c r="H3" s="36" t="s">
        <v>398</v>
      </c>
    </row>
    <row r="4" spans="1:8" ht="21.75" customHeight="1" x14ac:dyDescent="0.45">
      <c r="A4" s="38" t="s">
        <v>399</v>
      </c>
      <c r="B4" s="38" t="s">
        <v>400</v>
      </c>
      <c r="C4" s="39" t="s">
        <v>401</v>
      </c>
      <c r="D4" s="39">
        <v>15</v>
      </c>
      <c r="E4" s="39">
        <v>50</v>
      </c>
      <c r="F4" s="39">
        <v>7.5</v>
      </c>
      <c r="G4" s="38" t="s">
        <v>402</v>
      </c>
      <c r="H4" s="38" t="s">
        <v>403</v>
      </c>
    </row>
    <row r="5" spans="1:8" ht="21.75" customHeight="1" x14ac:dyDescent="0.45">
      <c r="A5" s="36" t="s">
        <v>38</v>
      </c>
      <c r="B5" s="36" t="s">
        <v>404</v>
      </c>
      <c r="C5" s="37" t="s">
        <v>331</v>
      </c>
      <c r="D5" s="37">
        <v>1.8</v>
      </c>
      <c r="E5" s="37">
        <v>30</v>
      </c>
      <c r="F5" s="37">
        <v>0.54</v>
      </c>
      <c r="G5" s="36" t="s">
        <v>405</v>
      </c>
      <c r="H5" s="36" t="s">
        <v>406</v>
      </c>
    </row>
    <row r="6" spans="1:8" ht="21.75" customHeight="1" x14ac:dyDescent="0.45">
      <c r="A6" s="38" t="s">
        <v>46</v>
      </c>
      <c r="B6" s="38" t="s">
        <v>400</v>
      </c>
      <c r="C6" s="39" t="s">
        <v>165</v>
      </c>
      <c r="D6" s="39">
        <v>1.8</v>
      </c>
      <c r="E6" s="39">
        <v>20</v>
      </c>
      <c r="F6" s="39">
        <v>0.36</v>
      </c>
      <c r="G6" s="38" t="s">
        <v>407</v>
      </c>
      <c r="H6" s="38" t="s">
        <v>408</v>
      </c>
    </row>
    <row r="7" spans="1:8" ht="21.75" customHeight="1" x14ac:dyDescent="0.45">
      <c r="A7" s="36" t="s">
        <v>55</v>
      </c>
      <c r="B7" s="36" t="s">
        <v>409</v>
      </c>
      <c r="C7" s="37" t="s">
        <v>331</v>
      </c>
      <c r="D7" s="37">
        <v>0.6</v>
      </c>
      <c r="E7" s="37">
        <v>100</v>
      </c>
      <c r="F7" s="37">
        <v>0.6</v>
      </c>
      <c r="G7" s="36" t="s">
        <v>410</v>
      </c>
      <c r="H7" s="36" t="s">
        <v>411</v>
      </c>
    </row>
    <row r="8" spans="1:8" ht="21.75" customHeight="1" x14ac:dyDescent="0.45">
      <c r="A8" s="38" t="s">
        <v>64</v>
      </c>
      <c r="B8" s="38" t="s">
        <v>400</v>
      </c>
      <c r="C8" s="39" t="s">
        <v>165</v>
      </c>
      <c r="D8" s="39">
        <v>0.7</v>
      </c>
      <c r="E8" s="39">
        <v>10</v>
      </c>
      <c r="F8" s="39">
        <v>7.0000000000000007E-2</v>
      </c>
      <c r="G8" s="38" t="s">
        <v>407</v>
      </c>
      <c r="H8" s="38" t="s">
        <v>412</v>
      </c>
    </row>
    <row r="9" spans="1:8" ht="21.75" customHeight="1" x14ac:dyDescent="0.45">
      <c r="A9" s="36" t="s">
        <v>413</v>
      </c>
      <c r="B9" s="36" t="s">
        <v>414</v>
      </c>
      <c r="C9" s="37" t="s">
        <v>165</v>
      </c>
      <c r="D9" s="37">
        <v>25</v>
      </c>
      <c r="E9" s="37">
        <v>20</v>
      </c>
      <c r="F9" s="37">
        <v>5</v>
      </c>
      <c r="G9" s="36" t="s">
        <v>407</v>
      </c>
      <c r="H9" s="36" t="s">
        <v>415</v>
      </c>
    </row>
    <row r="10" spans="1:8" ht="21.75" customHeight="1" x14ac:dyDescent="0.45">
      <c r="A10" s="38" t="s">
        <v>416</v>
      </c>
      <c r="B10" s="38" t="s">
        <v>417</v>
      </c>
      <c r="C10" s="39" t="s">
        <v>165</v>
      </c>
      <c r="D10" s="39">
        <v>0.1</v>
      </c>
      <c r="E10" s="39">
        <v>80</v>
      </c>
      <c r="F10" s="39">
        <v>0.08</v>
      </c>
      <c r="G10" s="38" t="s">
        <v>407</v>
      </c>
      <c r="H10" s="38" t="s">
        <v>418</v>
      </c>
    </row>
    <row r="11" spans="1:8" ht="21.75" customHeight="1" x14ac:dyDescent="0.45">
      <c r="A11" s="36" t="s">
        <v>419</v>
      </c>
      <c r="B11" s="36" t="s">
        <v>420</v>
      </c>
      <c r="C11" s="37" t="s">
        <v>165</v>
      </c>
      <c r="D11" s="37">
        <v>85</v>
      </c>
      <c r="E11" s="37">
        <v>2</v>
      </c>
      <c r="F11" s="37">
        <v>1.7</v>
      </c>
      <c r="G11" s="36" t="s">
        <v>407</v>
      </c>
      <c r="H11" s="36" t="s">
        <v>421</v>
      </c>
    </row>
    <row r="12" spans="1:8" ht="21.75" customHeight="1" x14ac:dyDescent="0.45">
      <c r="A12" s="38" t="s">
        <v>422</v>
      </c>
      <c r="B12" s="38" t="s">
        <v>423</v>
      </c>
      <c r="C12" s="39" t="s">
        <v>165</v>
      </c>
      <c r="D12" s="39">
        <v>0.6</v>
      </c>
      <c r="E12" s="39">
        <v>5</v>
      </c>
      <c r="F12" s="39">
        <v>0.03</v>
      </c>
      <c r="G12" s="38" t="s">
        <v>407</v>
      </c>
      <c r="H12" s="38" t="s">
        <v>424</v>
      </c>
    </row>
    <row r="13" spans="1:8" ht="21.75" customHeight="1" x14ac:dyDescent="0.45">
      <c r="A13" s="36" t="s">
        <v>425</v>
      </c>
      <c r="B13" s="36" t="s">
        <v>426</v>
      </c>
      <c r="C13" s="37" t="s">
        <v>165</v>
      </c>
      <c r="D13" s="37">
        <v>12</v>
      </c>
      <c r="E13" s="37">
        <v>5</v>
      </c>
      <c r="F13" s="37">
        <v>0.6</v>
      </c>
      <c r="G13" s="36" t="s">
        <v>407</v>
      </c>
      <c r="H13" s="36" t="s">
        <v>427</v>
      </c>
    </row>
    <row r="14" spans="1:8" ht="21.75" customHeight="1" x14ac:dyDescent="0.45">
      <c r="A14" s="38" t="s">
        <v>84</v>
      </c>
      <c r="B14" s="38" t="s">
        <v>428</v>
      </c>
      <c r="C14" s="39" t="s">
        <v>343</v>
      </c>
      <c r="D14" s="39">
        <v>0.05</v>
      </c>
      <c r="E14" s="39">
        <v>100</v>
      </c>
      <c r="F14" s="39">
        <v>0.05</v>
      </c>
      <c r="G14" s="38" t="s">
        <v>343</v>
      </c>
      <c r="H14" s="38" t="s">
        <v>429</v>
      </c>
    </row>
    <row r="15" spans="1:8" ht="21.75" customHeight="1" x14ac:dyDescent="0.45">
      <c r="A15" s="36" t="s">
        <v>92</v>
      </c>
      <c r="B15" s="36" t="s">
        <v>430</v>
      </c>
      <c r="C15" s="37" t="s">
        <v>343</v>
      </c>
      <c r="D15" s="37">
        <v>0.05</v>
      </c>
      <c r="E15" s="37">
        <v>100</v>
      </c>
      <c r="F15" s="37">
        <v>0.05</v>
      </c>
      <c r="G15" s="36" t="s">
        <v>343</v>
      </c>
      <c r="H15" s="36" t="s">
        <v>431</v>
      </c>
    </row>
    <row r="16" spans="1:8" ht="21.75" customHeight="1" x14ac:dyDescent="0.45">
      <c r="A16" s="38" t="s">
        <v>370</v>
      </c>
      <c r="B16" s="38" t="s">
        <v>432</v>
      </c>
      <c r="C16" s="39" t="s">
        <v>165</v>
      </c>
      <c r="D16" s="39">
        <v>20</v>
      </c>
      <c r="E16" s="39">
        <v>1</v>
      </c>
      <c r="F16" s="39">
        <v>0.2</v>
      </c>
      <c r="G16" s="38" t="s">
        <v>407</v>
      </c>
      <c r="H16" s="38" t="s">
        <v>433</v>
      </c>
    </row>
    <row r="17" spans="1:8" ht="21.75" customHeight="1" x14ac:dyDescent="0.45">
      <c r="A17" s="40" t="s">
        <v>434</v>
      </c>
      <c r="B17" s="40" t="s">
        <v>435</v>
      </c>
      <c r="C17" s="41" t="s">
        <v>382</v>
      </c>
      <c r="D17" s="41">
        <v>0</v>
      </c>
      <c r="E17" s="41">
        <v>0</v>
      </c>
      <c r="F17" s="41">
        <v>0</v>
      </c>
      <c r="G17" s="40" t="s">
        <v>382</v>
      </c>
      <c r="H17" s="40" t="s">
        <v>436</v>
      </c>
    </row>
    <row r="19" spans="1:8" ht="21.75" customHeight="1" x14ac:dyDescent="0.45">
      <c r="A19" s="79" t="s">
        <v>437</v>
      </c>
      <c r="B19" s="79"/>
      <c r="C19" s="79"/>
      <c r="D19" s="79"/>
      <c r="E19" s="79"/>
      <c r="F19" s="79"/>
      <c r="G19" s="79"/>
      <c r="H19" s="42">
        <f>SUM(F3:F17)</f>
        <v>22.78</v>
      </c>
    </row>
    <row r="20" spans="1:8" ht="18" customHeight="1" x14ac:dyDescent="0.45">
      <c r="A20" s="43" t="s">
        <v>343</v>
      </c>
      <c r="H20" s="44" t="s">
        <v>438</v>
      </c>
    </row>
    <row r="21" spans="1:8" ht="18" customHeight="1" x14ac:dyDescent="0.45">
      <c r="A21" s="43" t="s">
        <v>439</v>
      </c>
      <c r="H21" s="44" t="s">
        <v>440</v>
      </c>
    </row>
    <row r="22" spans="1:8" ht="18" customHeight="1" x14ac:dyDescent="0.45">
      <c r="A22" s="43" t="s">
        <v>441</v>
      </c>
      <c r="H22" s="44" t="s">
        <v>442</v>
      </c>
    </row>
    <row r="23" spans="1:8" ht="18" customHeight="1" x14ac:dyDescent="0.45">
      <c r="A23" s="43" t="s">
        <v>443</v>
      </c>
      <c r="H23" s="44" t="s">
        <v>444</v>
      </c>
    </row>
    <row r="24" spans="1:8" ht="18" customHeight="1" x14ac:dyDescent="0.45">
      <c r="A24" s="43" t="s">
        <v>445</v>
      </c>
      <c r="H24" s="44" t="s">
        <v>446</v>
      </c>
    </row>
  </sheetData>
  <mergeCells count="2">
    <mergeCell ref="A1:H1"/>
    <mergeCell ref="A19:G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showGridLines="0" zoomScaleNormal="100" workbookViewId="0"/>
  </sheetViews>
  <sheetFormatPr defaultColWidth="8.6640625" defaultRowHeight="14.25" x14ac:dyDescent="0.45"/>
  <cols>
    <col min="1" max="1" width="28" customWidth="1"/>
    <col min="2" max="2" width="10" customWidth="1"/>
    <col min="3" max="4" width="16" customWidth="1"/>
  </cols>
  <sheetData>
    <row r="1" spans="1:4" ht="25.5" customHeight="1" x14ac:dyDescent="0.5">
      <c r="A1" s="78" t="s">
        <v>447</v>
      </c>
      <c r="B1" s="78"/>
      <c r="C1" s="78"/>
      <c r="D1" s="78"/>
    </row>
    <row r="2" spans="1:4" x14ac:dyDescent="0.45">
      <c r="A2" s="35" t="s">
        <v>448</v>
      </c>
      <c r="B2" s="35" t="s">
        <v>449</v>
      </c>
      <c r="C2" s="35" t="s">
        <v>450</v>
      </c>
      <c r="D2" s="35" t="s">
        <v>451</v>
      </c>
    </row>
    <row r="3" spans="1:4" ht="19.5" customHeight="1" x14ac:dyDescent="0.45">
      <c r="A3" s="45" t="s">
        <v>452</v>
      </c>
      <c r="B3" s="46">
        <v>1</v>
      </c>
      <c r="C3" s="47">
        <v>8.5</v>
      </c>
      <c r="D3" s="48">
        <v>25.5</v>
      </c>
    </row>
    <row r="4" spans="1:4" ht="19.5" customHeight="1" x14ac:dyDescent="0.45">
      <c r="A4" s="49" t="s">
        <v>453</v>
      </c>
      <c r="B4" s="50">
        <v>3</v>
      </c>
      <c r="C4" s="51">
        <v>18.2</v>
      </c>
      <c r="D4" s="52">
        <v>54.6</v>
      </c>
    </row>
    <row r="5" spans="1:4" ht="19.5" customHeight="1" x14ac:dyDescent="0.45">
      <c r="A5" s="45" t="s">
        <v>454</v>
      </c>
      <c r="B5" s="46">
        <v>2</v>
      </c>
      <c r="C5" s="47">
        <v>6</v>
      </c>
      <c r="D5" s="48">
        <v>18</v>
      </c>
    </row>
    <row r="6" spans="1:4" ht="19.5" customHeight="1" x14ac:dyDescent="0.45">
      <c r="A6" s="49" t="s">
        <v>455</v>
      </c>
      <c r="B6" s="50">
        <v>1</v>
      </c>
      <c r="C6" s="51">
        <v>20</v>
      </c>
      <c r="D6" s="52">
        <v>60</v>
      </c>
    </row>
    <row r="7" spans="1:4" ht="19.5" customHeight="1" x14ac:dyDescent="0.45">
      <c r="A7" s="45" t="s">
        <v>456</v>
      </c>
      <c r="B7" s="46">
        <v>7</v>
      </c>
      <c r="C7" s="47">
        <v>10.8</v>
      </c>
      <c r="D7" s="48">
        <v>32.4</v>
      </c>
    </row>
    <row r="8" spans="1:4" ht="19.5" customHeight="1" x14ac:dyDescent="0.45">
      <c r="A8" s="49" t="s">
        <v>136</v>
      </c>
      <c r="B8" s="50">
        <v>1</v>
      </c>
      <c r="C8" s="51">
        <v>0.8</v>
      </c>
      <c r="D8" s="52">
        <v>2.4</v>
      </c>
    </row>
    <row r="9" spans="1:4" ht="19.5" customHeight="1" x14ac:dyDescent="0.45">
      <c r="A9" s="53" t="s">
        <v>457</v>
      </c>
      <c r="B9" s="54">
        <v>0</v>
      </c>
      <c r="C9" s="55">
        <v>0</v>
      </c>
      <c r="D9" s="56">
        <v>0</v>
      </c>
    </row>
    <row r="10" spans="1:4" ht="19.5" customHeight="1" x14ac:dyDescent="0.45">
      <c r="A10" s="49" t="s">
        <v>458</v>
      </c>
      <c r="B10" s="50">
        <v>4</v>
      </c>
      <c r="C10" s="51">
        <v>7.9</v>
      </c>
      <c r="D10" s="52">
        <v>23.7</v>
      </c>
    </row>
    <row r="11" spans="1:4" ht="19.5" customHeight="1" x14ac:dyDescent="0.45">
      <c r="A11" s="45" t="s">
        <v>459</v>
      </c>
      <c r="B11" s="46">
        <v>2</v>
      </c>
      <c r="C11" s="47">
        <v>1.7</v>
      </c>
      <c r="D11" s="48">
        <v>5.0999999999999996</v>
      </c>
    </row>
    <row r="12" spans="1:4" ht="19.5" customHeight="1" x14ac:dyDescent="0.45">
      <c r="A12" s="49" t="s">
        <v>460</v>
      </c>
      <c r="B12" s="50">
        <v>2</v>
      </c>
      <c r="C12" s="51">
        <v>1.4</v>
      </c>
      <c r="D12" s="52">
        <v>4.2</v>
      </c>
    </row>
    <row r="13" spans="1:4" ht="19.5" customHeight="1" x14ac:dyDescent="0.45">
      <c r="A13" s="45" t="s">
        <v>461</v>
      </c>
      <c r="B13" s="46">
        <v>4</v>
      </c>
      <c r="C13" s="47">
        <v>10</v>
      </c>
      <c r="D13" s="48">
        <v>30</v>
      </c>
    </row>
    <row r="14" spans="1:4" ht="19.5" customHeight="1" x14ac:dyDescent="0.45">
      <c r="A14" s="49" t="s">
        <v>462</v>
      </c>
      <c r="B14" s="50">
        <v>6</v>
      </c>
      <c r="C14" s="51">
        <v>62</v>
      </c>
      <c r="D14" s="52">
        <v>186</v>
      </c>
    </row>
    <row r="15" spans="1:4" ht="19.5" customHeight="1" x14ac:dyDescent="0.45">
      <c r="A15" s="45" t="s">
        <v>463</v>
      </c>
      <c r="B15" s="46">
        <v>2</v>
      </c>
      <c r="C15" s="47">
        <v>1</v>
      </c>
      <c r="D15" s="48">
        <v>3</v>
      </c>
    </row>
    <row r="16" spans="1:4" ht="19.5" customHeight="1" x14ac:dyDescent="0.45">
      <c r="A16" s="49" t="s">
        <v>464</v>
      </c>
      <c r="B16" s="50">
        <v>5</v>
      </c>
      <c r="C16" s="51">
        <v>1.05</v>
      </c>
      <c r="D16" s="52">
        <v>3.15</v>
      </c>
    </row>
    <row r="17" spans="1:4" ht="19.5" customHeight="1" x14ac:dyDescent="0.45">
      <c r="A17" s="45" t="s">
        <v>465</v>
      </c>
      <c r="B17" s="46">
        <v>1</v>
      </c>
      <c r="C17" s="47">
        <v>0</v>
      </c>
      <c r="D17" s="48">
        <v>0</v>
      </c>
    </row>
    <row r="18" spans="1:4" ht="25.5" customHeight="1" x14ac:dyDescent="0.45">
      <c r="A18" s="57" t="s">
        <v>466</v>
      </c>
      <c r="B18" s="27"/>
      <c r="C18" s="58">
        <f>SUM(C3:C17)</f>
        <v>149.35000000000002</v>
      </c>
      <c r="D18" s="58">
        <f>SUM(D3:D17)</f>
        <v>448.04999999999995</v>
      </c>
    </row>
    <row r="20" spans="1:4" ht="18" customHeight="1" x14ac:dyDescent="0.45">
      <c r="A20" s="59" t="s">
        <v>467</v>
      </c>
      <c r="D20" s="44" t="s">
        <v>468</v>
      </c>
    </row>
    <row r="21" spans="1:4" ht="18" customHeight="1" x14ac:dyDescent="0.45">
      <c r="A21" s="59" t="s">
        <v>469</v>
      </c>
      <c r="D21" s="44" t="s">
        <v>470</v>
      </c>
    </row>
    <row r="22" spans="1:4" ht="18" customHeight="1" x14ac:dyDescent="0.45">
      <c r="A22" s="59" t="s">
        <v>471</v>
      </c>
      <c r="D22" s="44" t="s">
        <v>472</v>
      </c>
    </row>
    <row r="23" spans="1:4" ht="18" customHeight="1" x14ac:dyDescent="0.45">
      <c r="A23" s="59" t="s">
        <v>473</v>
      </c>
      <c r="D23" s="44" t="s">
        <v>474</v>
      </c>
    </row>
    <row r="24" spans="1:4" ht="18" customHeight="1" x14ac:dyDescent="0.45">
      <c r="A24" s="43" t="s">
        <v>475</v>
      </c>
      <c r="D24" s="60" t="s">
        <v>476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BOM</vt:lpstr>
      <vt:lpstr>Interface Map</vt:lpstr>
      <vt:lpstr>Power Budget</vt:lpstr>
      <vt:lpstr>Cost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Masrur Jamil Prochchhod</cp:lastModifiedBy>
  <cp:revision>0</cp:revision>
  <dcterms:created xsi:type="dcterms:W3CDTF">2026-06-11T17:55:51Z</dcterms:created>
  <dcterms:modified xsi:type="dcterms:W3CDTF">2026-06-12T08:43:09Z</dcterms:modified>
  <dc:language>en-US</dc:language>
</cp:coreProperties>
</file>